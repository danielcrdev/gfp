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iel.ribeiro\Documents\Pessoal\planilha financeira\"/>
    </mc:Choice>
  </mc:AlternateContent>
  <xr:revisionPtr revIDLastSave="0" documentId="13_ncr:1_{4E7BE889-509F-49ED-A214-9B871937B5FB}" xr6:coauthVersionLast="41" xr6:coauthVersionMax="45" xr10:uidLastSave="{00000000-0000-0000-0000-000000000000}"/>
  <bookViews>
    <workbookView xWindow="-120" yWindow="-120" windowWidth="20730" windowHeight="11310" firstSheet="1" activeTab="1" xr2:uid="{7B5FB561-B764-4FC0-A7CC-29EE7A663A9D}"/>
  </bookViews>
  <sheets>
    <sheet name="Tabelas" sheetId="2" state="hidden" r:id="rId1"/>
    <sheet name="Orçamento" sheetId="1" r:id="rId2"/>
    <sheet name="Gráfico" sheetId="3" r:id="rId3"/>
  </sheets>
  <definedNames>
    <definedName name="_xlchart.v1.0" hidden="1">Gráfico!$A$65:$A$71</definedName>
    <definedName name="_xlchart.v1.1" hidden="1">Gráfico!$B$65:$B$71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5" i="1" l="1"/>
  <c r="Q77" i="1" l="1"/>
  <c r="Q134" i="1"/>
  <c r="Q135" i="1"/>
  <c r="Q136" i="1"/>
  <c r="Q21" i="1" l="1"/>
  <c r="Q22" i="1"/>
  <c r="Q23" i="1"/>
  <c r="Q24" i="1"/>
  <c r="Q26" i="1"/>
  <c r="Q20" i="1"/>
  <c r="F27" i="1"/>
  <c r="F9" i="1" s="1"/>
  <c r="G27" i="1"/>
  <c r="G9" i="1" s="1"/>
  <c r="H27" i="1"/>
  <c r="H9" i="1" s="1"/>
  <c r="I27" i="1"/>
  <c r="I9" i="1" s="1"/>
  <c r="J27" i="1"/>
  <c r="J9" i="1" s="1"/>
  <c r="K27" i="1"/>
  <c r="K9" i="1" s="1"/>
  <c r="L27" i="1"/>
  <c r="L9" i="1" s="1"/>
  <c r="M27" i="1"/>
  <c r="M9" i="1" s="1"/>
  <c r="N27" i="1"/>
  <c r="N9" i="1" s="1"/>
  <c r="O27" i="1"/>
  <c r="O9" i="1" s="1"/>
  <c r="P27" i="1"/>
  <c r="P9" i="1" s="1"/>
  <c r="E27" i="1"/>
  <c r="E9" i="1" s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41" i="1"/>
  <c r="F58" i="1"/>
  <c r="G58" i="1"/>
  <c r="H58" i="1"/>
  <c r="I58" i="1"/>
  <c r="J58" i="1"/>
  <c r="K58" i="1"/>
  <c r="L58" i="1"/>
  <c r="M58" i="1"/>
  <c r="N58" i="1"/>
  <c r="O58" i="1"/>
  <c r="P58" i="1"/>
  <c r="E58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8" i="1"/>
  <c r="Q63" i="1"/>
  <c r="F79" i="1"/>
  <c r="G79" i="1"/>
  <c r="H79" i="1"/>
  <c r="I79" i="1"/>
  <c r="J79" i="1"/>
  <c r="K79" i="1"/>
  <c r="L79" i="1"/>
  <c r="M79" i="1"/>
  <c r="N79" i="1"/>
  <c r="O79" i="1"/>
  <c r="P79" i="1"/>
  <c r="E79" i="1"/>
  <c r="Q111" i="1"/>
  <c r="Q112" i="1"/>
  <c r="Q113" i="1"/>
  <c r="Q114" i="1"/>
  <c r="Q115" i="1"/>
  <c r="Q110" i="1"/>
  <c r="F116" i="1"/>
  <c r="G116" i="1"/>
  <c r="H116" i="1"/>
  <c r="I116" i="1"/>
  <c r="J116" i="1"/>
  <c r="K116" i="1"/>
  <c r="L116" i="1"/>
  <c r="M116" i="1"/>
  <c r="N116" i="1"/>
  <c r="O116" i="1"/>
  <c r="P116" i="1"/>
  <c r="Q85" i="1"/>
  <c r="Q86" i="1"/>
  <c r="Q87" i="1"/>
  <c r="Q88" i="1"/>
  <c r="Q89" i="1"/>
  <c r="Q90" i="1"/>
  <c r="Q91" i="1"/>
  <c r="Q92" i="1"/>
  <c r="Q93" i="1"/>
  <c r="Q84" i="1"/>
  <c r="F94" i="1"/>
  <c r="G94" i="1"/>
  <c r="H94" i="1"/>
  <c r="I94" i="1"/>
  <c r="J94" i="1"/>
  <c r="K94" i="1"/>
  <c r="L94" i="1"/>
  <c r="M94" i="1"/>
  <c r="N94" i="1"/>
  <c r="O94" i="1"/>
  <c r="P94" i="1"/>
  <c r="E94" i="1"/>
  <c r="Q100" i="1"/>
  <c r="Q101" i="1"/>
  <c r="Q102" i="1"/>
  <c r="Q103" i="1"/>
  <c r="Q104" i="1"/>
  <c r="Q99" i="1"/>
  <c r="F105" i="1"/>
  <c r="G105" i="1"/>
  <c r="H105" i="1"/>
  <c r="I105" i="1"/>
  <c r="J105" i="1"/>
  <c r="K105" i="1"/>
  <c r="L105" i="1"/>
  <c r="M105" i="1"/>
  <c r="N105" i="1"/>
  <c r="O105" i="1"/>
  <c r="P105" i="1"/>
  <c r="E105" i="1"/>
  <c r="Q122" i="1"/>
  <c r="Q123" i="1"/>
  <c r="Q124" i="1"/>
  <c r="Q125" i="1"/>
  <c r="Q126" i="1"/>
  <c r="Q127" i="1"/>
  <c r="Q121" i="1"/>
  <c r="F128" i="1"/>
  <c r="G128" i="1"/>
  <c r="H128" i="1"/>
  <c r="I128" i="1"/>
  <c r="J128" i="1"/>
  <c r="K128" i="1"/>
  <c r="L128" i="1"/>
  <c r="M128" i="1"/>
  <c r="N128" i="1"/>
  <c r="O128" i="1"/>
  <c r="P128" i="1"/>
  <c r="E128" i="1"/>
  <c r="Q33" i="1"/>
  <c r="Q34" i="1"/>
  <c r="Q35" i="1"/>
  <c r="Q32" i="1"/>
  <c r="F36" i="1"/>
  <c r="F11" i="1" s="1"/>
  <c r="G36" i="1"/>
  <c r="G11" i="1" s="1"/>
  <c r="H36" i="1"/>
  <c r="H11" i="1" s="1"/>
  <c r="I36" i="1"/>
  <c r="I11" i="1" s="1"/>
  <c r="J36" i="1"/>
  <c r="J11" i="1" s="1"/>
  <c r="K36" i="1"/>
  <c r="K11" i="1" s="1"/>
  <c r="L36" i="1"/>
  <c r="L11" i="1" s="1"/>
  <c r="M36" i="1"/>
  <c r="M11" i="1" s="1"/>
  <c r="N36" i="1"/>
  <c r="N11" i="1" s="1"/>
  <c r="O36" i="1"/>
  <c r="O11" i="1" s="1"/>
  <c r="P36" i="1"/>
  <c r="P11" i="1" s="1"/>
  <c r="E36" i="1"/>
  <c r="E11" i="1" s="1"/>
  <c r="Q133" i="1"/>
  <c r="Q137" i="1"/>
  <c r="F138" i="1"/>
  <c r="G138" i="1"/>
  <c r="H138" i="1"/>
  <c r="I138" i="1"/>
  <c r="J138" i="1"/>
  <c r="K138" i="1"/>
  <c r="L138" i="1"/>
  <c r="M138" i="1"/>
  <c r="N138" i="1"/>
  <c r="O138" i="1"/>
  <c r="P138" i="1"/>
  <c r="E138" i="1"/>
  <c r="P10" i="1" l="1"/>
  <c r="G10" i="1"/>
  <c r="N10" i="1"/>
  <c r="F10" i="1"/>
  <c r="O10" i="1"/>
  <c r="M10" i="1"/>
  <c r="L10" i="1"/>
  <c r="K10" i="1"/>
  <c r="Q9" i="1"/>
  <c r="I10" i="1"/>
  <c r="H10" i="1"/>
  <c r="J10" i="1"/>
  <c r="Q36" i="1"/>
  <c r="Q128" i="1"/>
  <c r="Q27" i="1"/>
  <c r="Q94" i="1"/>
  <c r="Q58" i="1"/>
  <c r="Q79" i="1"/>
  <c r="Q116" i="1"/>
  <c r="Q105" i="1"/>
  <c r="Q138" i="1"/>
  <c r="F12" i="1" l="1"/>
  <c r="K12" i="1"/>
  <c r="J12" i="1"/>
  <c r="H12" i="1"/>
  <c r="M12" i="1"/>
  <c r="P12" i="1"/>
  <c r="L12" i="1"/>
  <c r="G12" i="1"/>
  <c r="I12" i="1"/>
  <c r="N12" i="1"/>
  <c r="O12" i="1"/>
  <c r="Q131" i="1"/>
  <c r="Q30" i="1"/>
  <c r="D10" i="3" s="1"/>
  <c r="Q119" i="1"/>
  <c r="D9" i="3" s="1"/>
  <c r="Q97" i="1"/>
  <c r="D8" i="3" s="1"/>
  <c r="Q82" i="1"/>
  <c r="D7" i="3" s="1"/>
  <c r="Q108" i="1"/>
  <c r="D6" i="3" s="1"/>
  <c r="Q61" i="1"/>
  <c r="D5" i="3" s="1"/>
  <c r="Q39" i="1"/>
  <c r="D4" i="3" s="1"/>
  <c r="G6" i="1"/>
  <c r="H6" i="1"/>
  <c r="I6" i="1"/>
  <c r="J6" i="1"/>
  <c r="K6" i="1"/>
  <c r="L6" i="1"/>
  <c r="M6" i="1"/>
  <c r="N6" i="1"/>
  <c r="O6" i="1"/>
  <c r="P6" i="1"/>
  <c r="F6" i="1"/>
  <c r="E6" i="1"/>
  <c r="C131" i="1"/>
  <c r="C138" i="1" s="1"/>
  <c r="M132" i="1" l="1"/>
  <c r="L132" i="1"/>
  <c r="E132" i="1"/>
  <c r="I132" i="1"/>
  <c r="P132" i="1"/>
  <c r="H132" i="1"/>
  <c r="O132" i="1"/>
  <c r="K132" i="1"/>
  <c r="G132" i="1"/>
  <c r="N132" i="1"/>
  <c r="J132" i="1"/>
  <c r="F132" i="1"/>
  <c r="E116" i="1"/>
  <c r="E10" i="1" s="1"/>
  <c r="E12" i="1" l="1"/>
  <c r="Q12" i="1" s="1"/>
  <c r="Q132" i="1"/>
  <c r="C30" i="1"/>
  <c r="C119" i="1"/>
  <c r="C97" i="1"/>
  <c r="C82" i="1"/>
  <c r="C108" i="1"/>
  <c r="C61" i="1"/>
  <c r="C39" i="1"/>
  <c r="B26" i="3"/>
  <c r="B27" i="3"/>
  <c r="B28" i="3"/>
  <c r="B29" i="3"/>
  <c r="B30" i="3"/>
  <c r="B31" i="3"/>
  <c r="B32" i="3"/>
  <c r="B33" i="3"/>
  <c r="B34" i="3"/>
  <c r="B35" i="3"/>
  <c r="B36" i="3"/>
  <c r="H40" i="1" l="1"/>
  <c r="J40" i="1"/>
  <c r="L40" i="1"/>
  <c r="I40" i="1"/>
  <c r="K40" i="1"/>
  <c r="M40" i="1"/>
  <c r="P40" i="1"/>
  <c r="F40" i="1"/>
  <c r="N40" i="1"/>
  <c r="O40" i="1"/>
  <c r="G40" i="1"/>
  <c r="B4" i="3"/>
  <c r="A65" i="3"/>
  <c r="B5" i="3"/>
  <c r="A66" i="3"/>
  <c r="B6" i="3"/>
  <c r="A67" i="3"/>
  <c r="B7" i="3"/>
  <c r="A68" i="3"/>
  <c r="B9" i="3"/>
  <c r="A70" i="3"/>
  <c r="B8" i="3"/>
  <c r="A69" i="3"/>
  <c r="B10" i="3"/>
  <c r="A71" i="3"/>
  <c r="B25" i="3"/>
  <c r="C36" i="3"/>
  <c r="B54" i="3" s="1"/>
  <c r="C29" i="3"/>
  <c r="B47" i="3" s="1"/>
  <c r="C32" i="3"/>
  <c r="B50" i="3" s="1"/>
  <c r="C25" i="3"/>
  <c r="C58" i="1"/>
  <c r="E40" i="1"/>
  <c r="C128" i="1"/>
  <c r="H120" i="1"/>
  <c r="L120" i="1"/>
  <c r="P120" i="1"/>
  <c r="O120" i="1"/>
  <c r="I120" i="1"/>
  <c r="M120" i="1"/>
  <c r="E120" i="1"/>
  <c r="K120" i="1"/>
  <c r="F120" i="1"/>
  <c r="J120" i="1"/>
  <c r="N120" i="1"/>
  <c r="G120" i="1"/>
  <c r="C116" i="1"/>
  <c r="G109" i="1"/>
  <c r="K109" i="1"/>
  <c r="O109" i="1"/>
  <c r="J109" i="1"/>
  <c r="H109" i="1"/>
  <c r="L109" i="1"/>
  <c r="P109" i="1"/>
  <c r="N109" i="1"/>
  <c r="I109" i="1"/>
  <c r="M109" i="1"/>
  <c r="F109" i="1"/>
  <c r="E109" i="1"/>
  <c r="C36" i="1"/>
  <c r="I31" i="1"/>
  <c r="M31" i="1"/>
  <c r="E31" i="1"/>
  <c r="P31" i="1"/>
  <c r="F31" i="1"/>
  <c r="J31" i="1"/>
  <c r="N31" i="1"/>
  <c r="L31" i="1"/>
  <c r="G31" i="1"/>
  <c r="K31" i="1"/>
  <c r="O31" i="1"/>
  <c r="H31" i="1"/>
  <c r="C105" i="1"/>
  <c r="G98" i="1"/>
  <c r="K98" i="1"/>
  <c r="O98" i="1"/>
  <c r="N98" i="1"/>
  <c r="H98" i="1"/>
  <c r="L98" i="1"/>
  <c r="P98" i="1"/>
  <c r="J98" i="1"/>
  <c r="I98" i="1"/>
  <c r="M98" i="1"/>
  <c r="E98" i="1"/>
  <c r="F98" i="1"/>
  <c r="C79" i="1"/>
  <c r="G62" i="1"/>
  <c r="K62" i="1"/>
  <c r="O62" i="1"/>
  <c r="J62" i="1"/>
  <c r="H62" i="1"/>
  <c r="L62" i="1"/>
  <c r="P62" i="1"/>
  <c r="N62" i="1"/>
  <c r="I62" i="1"/>
  <c r="M62" i="1"/>
  <c r="F62" i="1"/>
  <c r="E62" i="1"/>
  <c r="C94" i="1"/>
  <c r="F83" i="1"/>
  <c r="J83" i="1"/>
  <c r="N83" i="1"/>
  <c r="M83" i="1"/>
  <c r="G83" i="1"/>
  <c r="K83" i="1"/>
  <c r="O83" i="1"/>
  <c r="I83" i="1"/>
  <c r="H83" i="1"/>
  <c r="L83" i="1"/>
  <c r="P83" i="1"/>
  <c r="E83" i="1"/>
  <c r="Q83" i="1" l="1"/>
  <c r="Q109" i="1"/>
  <c r="Q31" i="1"/>
  <c r="Q62" i="1"/>
  <c r="Q40" i="1"/>
  <c r="Q120" i="1"/>
  <c r="Q98" i="1"/>
  <c r="B43" i="3"/>
  <c r="C34" i="3"/>
  <c r="B52" i="3" s="1"/>
  <c r="C30" i="3"/>
  <c r="B48" i="3" s="1"/>
  <c r="C31" i="3"/>
  <c r="B49" i="3" s="1"/>
  <c r="C33" i="3"/>
  <c r="B51" i="3" s="1"/>
  <c r="C27" i="3"/>
  <c r="B45" i="3" s="1"/>
  <c r="C28" i="3"/>
  <c r="B46" i="3" s="1"/>
  <c r="P13" i="1"/>
  <c r="C35" i="3"/>
  <c r="B53" i="3" s="1"/>
  <c r="C26" i="3"/>
  <c r="B44" i="3" s="1"/>
  <c r="J13" i="1"/>
  <c r="N13" i="1"/>
  <c r="G13" i="1"/>
  <c r="L13" i="1"/>
  <c r="K13" i="1"/>
  <c r="O13" i="1"/>
  <c r="H13" i="1"/>
  <c r="I13" i="1"/>
  <c r="M13" i="1"/>
  <c r="F13" i="1"/>
  <c r="Q10" i="1"/>
  <c r="C8" i="3" l="1"/>
  <c r="B69" i="3"/>
  <c r="C10" i="3"/>
  <c r="B71" i="3"/>
  <c r="C6" i="3"/>
  <c r="B67" i="3"/>
  <c r="C5" i="3"/>
  <c r="B66" i="3"/>
  <c r="C7" i="3"/>
  <c r="B68" i="3"/>
  <c r="C9" i="3"/>
  <c r="B70" i="3"/>
  <c r="C4" i="3"/>
  <c r="B65" i="3"/>
  <c r="Q11" i="1"/>
  <c r="Q13" i="1"/>
  <c r="A62" i="3" l="1"/>
</calcChain>
</file>

<file path=xl/sharedStrings.xml><?xml version="1.0" encoding="utf-8"?>
<sst xmlns="http://schemas.openxmlformats.org/spreadsheetml/2006/main" count="76" uniqueCount="40">
  <si>
    <t>Necessidades Básicas</t>
  </si>
  <si>
    <t>Lazer</t>
  </si>
  <si>
    <t>Receitas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</si>
  <si>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</si>
  <si>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</si>
  <si>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</si>
  <si>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</si>
  <si>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</si>
  <si>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</si>
  <si>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</si>
  <si>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</si>
  <si>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</si>
  <si>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</si>
  <si>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</si>
  <si>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</si>
  <si>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 de Receitas</t>
  </si>
  <si>
    <t>Emergência</t>
  </si>
  <si>
    <t>Saúde</t>
  </si>
  <si>
    <t>Educação</t>
  </si>
  <si>
    <t>Metas</t>
  </si>
  <si>
    <t>Categorias</t>
  </si>
  <si>
    <t>Destino Receita</t>
  </si>
  <si>
    <t>Padrão % Orçamento</t>
  </si>
  <si>
    <t>Orçamento Familiar 2021</t>
  </si>
  <si>
    <t>Independência Financeira</t>
  </si>
  <si>
    <t>Resumo</t>
  </si>
  <si>
    <t>Inflação Familiar</t>
  </si>
  <si>
    <t>Vale Alimentação</t>
  </si>
  <si>
    <t>Total do Ano</t>
  </si>
  <si>
    <t>Categoria</t>
  </si>
  <si>
    <t>Percentual</t>
  </si>
  <si>
    <t>Valor</t>
  </si>
  <si>
    <t>Receita</t>
  </si>
  <si>
    <t>Despesa</t>
  </si>
  <si>
    <t>Dívida</t>
  </si>
  <si>
    <t>end-loop</t>
  </si>
  <si>
    <t>Total de Resumo</t>
  </si>
  <si>
    <t>Resultado do Ano</t>
  </si>
  <si>
    <t>Investido em Idependencia Financeira</t>
  </si>
  <si>
    <t>Sobra ou Dívida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</si>
</sst>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\+&quot;R$&quot;\ #,##0.00;[Red]\-&quot;R$&quot;\ #,##0.00"/>
    <numFmt numFmtId="166" formatCode="_-[$R$-416]\ * #,##0.00_-;\-[$R$-416]\ * #,##0.00_-;_-[$R$-416]\ * &quot;-&quot;??_-;_-@_-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theme="6" tint="-0.499984740745262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0"/>
      <color theme="1" tint="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3" tint="0.3999755851924192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7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7" tint="0.59999389629810485"/>
        </stop>
      </gradient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theme="2" tint="-0.499984740745262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1" xfId="0" applyBorder="1"/>
    <xf numFmtId="0" fontId="2" fillId="3" borderId="1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9" fontId="0" fillId="0" borderId="1" xfId="0" applyNumberForma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0" fontId="4" fillId="0" borderId="0" xfId="0" applyFont="1" applyFill="1" applyBorder="1" applyAlignment="1" applyProtection="1">
      <alignment wrapText="1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164" fontId="4" fillId="0" borderId="0" xfId="1" applyNumberFormat="1" applyFont="1" applyFill="1" applyBorder="1" applyAlignment="1" applyProtection="1">
      <alignment horizontal="center" vertical="center"/>
      <protection locked="0"/>
    </xf>
    <xf numFmtId="164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6" borderId="0" xfId="0" applyFont="1" applyFill="1" applyBorder="1" applyAlignment="1" applyProtection="1">
      <alignment horizontal="center" vertical="center"/>
    </xf>
    <xf numFmtId="0" fontId="4" fillId="6" borderId="0" xfId="0" applyFont="1" applyFill="1" applyBorder="1" applyProtection="1"/>
    <xf numFmtId="0" fontId="8" fillId="6" borderId="0" xfId="0" applyFont="1" applyFill="1" applyBorder="1" applyAlignment="1" applyProtection="1">
      <alignment horizontal="center" vertical="center"/>
    </xf>
    <xf numFmtId="0" fontId="6" fillId="6" borderId="0" xfId="0" applyFont="1" applyFill="1" applyBorder="1" applyProtection="1"/>
    <xf numFmtId="0" fontId="4" fillId="0" borderId="0" xfId="0" applyFont="1" applyBorder="1" applyProtection="1"/>
    <xf numFmtId="20" fontId="4" fillId="0" borderId="0" xfId="0" applyNumberFormat="1" applyFont="1" applyBorder="1" applyAlignment="1" applyProtection="1">
      <alignment wrapText="1"/>
    </xf>
    <xf numFmtId="0" fontId="4" fillId="0" borderId="0" xfId="0" applyFont="1" applyBorder="1" applyAlignment="1" applyProtection="1">
      <alignment horizontal="center" vertical="center"/>
    </xf>
    <xf numFmtId="0" fontId="9" fillId="0" borderId="0" xfId="0" applyFont="1" applyBorder="1" applyProtection="1"/>
    <xf numFmtId="0" fontId="4" fillId="2" borderId="0" xfId="0" applyFont="1" applyFill="1" applyBorder="1" applyProtection="1"/>
    <xf numFmtId="0" fontId="9" fillId="2" borderId="0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wrapText="1"/>
    </xf>
    <xf numFmtId="164" fontId="9" fillId="2" borderId="0" xfId="1" applyNumberFormat="1" applyFont="1" applyFill="1" applyBorder="1" applyAlignment="1" applyProtection="1">
      <alignment horizontal="center" vertical="center"/>
    </xf>
    <xf numFmtId="164" fontId="10" fillId="2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wrapText="1"/>
    </xf>
    <xf numFmtId="164" fontId="4" fillId="0" borderId="0" xfId="0" applyNumberFormat="1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15" fillId="0" borderId="0" xfId="0" applyFont="1" applyBorder="1" applyProtection="1"/>
    <xf numFmtId="0" fontId="5" fillId="2" borderId="0" xfId="0" applyFont="1" applyFill="1" applyBorder="1" applyProtection="1"/>
    <xf numFmtId="9" fontId="16" fillId="2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164" fontId="17" fillId="0" borderId="0" xfId="0" applyNumberFormat="1" applyFont="1" applyFill="1" applyBorder="1" applyAlignment="1">
      <alignment vertical="center"/>
    </xf>
    <xf numFmtId="8" fontId="0" fillId="0" borderId="1" xfId="0" applyNumberFormat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0" borderId="0" xfId="0" applyFont="1" applyFill="1" applyBorder="1" applyAlignment="1" applyProtection="1">
      <alignment horizontal="center" vertical="center"/>
    </xf>
    <xf numFmtId="10" fontId="4" fillId="0" borderId="0" xfId="1" applyNumberFormat="1" applyFont="1" applyFill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 wrapText="1"/>
    </xf>
    <xf numFmtId="0" fontId="4" fillId="11" borderId="0" xfId="0" applyFont="1" applyFill="1" applyBorder="1" applyProtection="1"/>
    <xf numFmtId="0" fontId="4" fillId="11" borderId="0" xfId="0" applyFont="1" applyFill="1" applyBorder="1" applyAlignment="1" applyProtection="1">
      <alignment horizontal="center" vertical="center"/>
    </xf>
    <xf numFmtId="0" fontId="9" fillId="11" borderId="0" xfId="0" applyFont="1" applyFill="1" applyBorder="1" applyAlignment="1" applyProtection="1">
      <alignment horizontal="center" vertical="center"/>
    </xf>
    <xf numFmtId="0" fontId="5" fillId="11" borderId="0" xfId="0" applyFont="1" applyFill="1" applyBorder="1" applyProtection="1"/>
    <xf numFmtId="0" fontId="9" fillId="11" borderId="0" xfId="0" applyFont="1" applyFill="1" applyBorder="1" applyAlignment="1" applyProtection="1">
      <alignment wrapText="1"/>
    </xf>
    <xf numFmtId="164" fontId="9" fillId="11" borderId="0" xfId="1" applyNumberFormat="1" applyFont="1" applyFill="1" applyBorder="1" applyAlignment="1" applyProtection="1">
      <alignment horizontal="center" vertical="center"/>
    </xf>
    <xf numFmtId="0" fontId="4" fillId="11" borderId="2" xfId="0" applyFont="1" applyFill="1" applyBorder="1" applyProtection="1"/>
    <xf numFmtId="9" fontId="16" fillId="11" borderId="0" xfId="0" applyNumberFormat="1" applyFont="1" applyFill="1" applyBorder="1" applyAlignment="1" applyProtection="1">
      <alignment horizontal="center" vertical="center"/>
      <protection locked="0"/>
    </xf>
    <xf numFmtId="164" fontId="10" fillId="11" borderId="0" xfId="0" applyNumberFormat="1" applyFont="1" applyFill="1" applyBorder="1" applyAlignment="1" applyProtection="1">
      <alignment horizontal="center" vertical="center"/>
    </xf>
    <xf numFmtId="164" fontId="12" fillId="12" borderId="0" xfId="1" applyNumberFormat="1" applyFont="1" applyFill="1" applyBorder="1" applyAlignment="1" applyProtection="1">
      <alignment horizontal="center" vertical="center"/>
    </xf>
    <xf numFmtId="164" fontId="13" fillId="13" borderId="0" xfId="1" applyNumberFormat="1" applyFont="1" applyFill="1" applyBorder="1" applyAlignment="1" applyProtection="1">
      <alignment horizontal="center" vertical="center"/>
    </xf>
    <xf numFmtId="0" fontId="4" fillId="2" borderId="2" xfId="0" applyFont="1" applyFill="1" applyBorder="1" applyProtection="1"/>
    <xf numFmtId="0" fontId="20" fillId="14" borderId="0" xfId="0" applyFont="1" applyFill="1" applyBorder="1" applyProtection="1"/>
    <xf numFmtId="0" fontId="20" fillId="14" borderId="0" xfId="0" applyFont="1" applyFill="1" applyBorder="1" applyAlignment="1" applyProtection="1">
      <alignment horizontal="center" vertical="center"/>
    </xf>
    <xf numFmtId="0" fontId="4" fillId="14" borderId="2" xfId="0" applyFont="1" applyFill="1" applyBorder="1" applyAlignment="1" applyProtection="1">
      <alignment vertical="center"/>
    </xf>
    <xf numFmtId="164" fontId="20" fillId="14" borderId="0" xfId="1" applyNumberFormat="1" applyFont="1" applyFill="1" applyBorder="1" applyAlignment="1" applyProtection="1">
      <alignment horizontal="center" vertical="center"/>
    </xf>
    <xf numFmtId="0" fontId="25" fillId="14" borderId="0" xfId="0" applyFont="1" applyFill="1" applyBorder="1" applyAlignment="1" applyProtection="1">
      <alignment wrapText="1"/>
    </xf>
    <xf numFmtId="165" fontId="24" fillId="5" borderId="0" xfId="1" applyNumberFormat="1" applyFont="1" applyFill="1" applyBorder="1" applyAlignment="1" applyProtection="1">
      <alignment horizontal="center" vertical="center"/>
    </xf>
    <xf numFmtId="0" fontId="26" fillId="12" borderId="0" xfId="0" applyFont="1" applyFill="1" applyBorder="1" applyAlignment="1" applyProtection="1">
      <alignment vertical="center" wrapText="1"/>
    </xf>
    <xf numFmtId="0" fontId="12" fillId="12" borderId="0" xfId="0" applyFont="1" applyFill="1" applyBorder="1" applyAlignment="1" applyProtection="1">
      <alignment horizontal="center" vertical="center"/>
    </xf>
    <xf numFmtId="0" fontId="27" fillId="13" borderId="0" xfId="0" applyFont="1" applyFill="1" applyBorder="1" applyAlignment="1" applyProtection="1">
      <alignment vertical="center" wrapText="1"/>
    </xf>
    <xf numFmtId="0" fontId="13" fillId="13" borderId="0" xfId="0" applyFont="1" applyFill="1" applyBorder="1" applyAlignment="1" applyProtection="1">
      <alignment horizontal="center" vertical="center"/>
    </xf>
    <xf numFmtId="0" fontId="23" fillId="10" borderId="0" xfId="0" applyFont="1" applyFill="1" applyBorder="1" applyAlignment="1" applyProtection="1">
      <alignment vertical="center" wrapText="1"/>
    </xf>
    <xf numFmtId="0" fontId="22" fillId="10" borderId="0" xfId="0" applyFont="1" applyFill="1" applyBorder="1" applyAlignment="1" applyProtection="1">
      <alignment horizontal="center" vertical="center"/>
    </xf>
    <xf numFmtId="0" fontId="24" fillId="5" borderId="0" xfId="0" applyFont="1" applyFill="1" applyBorder="1" applyAlignment="1" applyProtection="1">
      <alignment vertical="center" wrapText="1"/>
    </xf>
    <xf numFmtId="0" fontId="28" fillId="5" borderId="0" xfId="0" applyFont="1" applyFill="1" applyBorder="1" applyAlignment="1" applyProtection="1">
      <alignment horizontal="center" vertical="center"/>
    </xf>
    <xf numFmtId="0" fontId="9" fillId="6" borderId="3" xfId="0" applyFont="1" applyFill="1" applyBorder="1" applyProtection="1"/>
    <xf numFmtId="0" fontId="8" fillId="6" borderId="3" xfId="0" applyFont="1" applyFill="1" applyBorder="1" applyAlignment="1" applyProtection="1">
      <alignment horizontal="center" vertical="center"/>
    </xf>
    <xf numFmtId="0" fontId="21" fillId="14" borderId="3" xfId="0" applyFont="1" applyFill="1" applyBorder="1" applyAlignment="1" applyProtection="1">
      <alignment horizontal="center" vertical="center"/>
    </xf>
    <xf numFmtId="10" fontId="9" fillId="0" borderId="3" xfId="1" applyNumberFormat="1" applyFont="1" applyFill="1" applyBorder="1" applyAlignment="1" applyProtection="1">
      <alignment horizontal="center" vertical="center"/>
    </xf>
    <xf numFmtId="164" fontId="26" fillId="12" borderId="3" xfId="0" applyNumberFormat="1" applyFont="1" applyFill="1" applyBorder="1" applyAlignment="1" applyProtection="1">
      <alignment horizontal="center" vertical="center"/>
    </xf>
    <xf numFmtId="164" fontId="27" fillId="13" borderId="3" xfId="0" applyNumberFormat="1" applyFont="1" applyFill="1" applyBorder="1" applyAlignment="1" applyProtection="1">
      <alignment horizontal="center" vertical="center"/>
    </xf>
    <xf numFmtId="164" fontId="23" fillId="10" borderId="3" xfId="0" applyNumberFormat="1" applyFont="1" applyFill="1" applyBorder="1" applyAlignment="1" applyProtection="1">
      <alignment horizontal="center" vertical="center"/>
    </xf>
    <xf numFmtId="164" fontId="24" fillId="5" borderId="3" xfId="0" applyNumberFormat="1" applyFont="1" applyFill="1" applyBorder="1" applyAlignment="1" applyProtection="1">
      <alignment horizontal="center" vertical="center"/>
    </xf>
    <xf numFmtId="164" fontId="21" fillId="14" borderId="3" xfId="1" applyNumberFormat="1" applyFont="1" applyFill="1" applyBorder="1" applyAlignment="1" applyProtection="1">
      <alignment horizontal="center" vertical="center"/>
    </xf>
    <xf numFmtId="0" fontId="9" fillId="11" borderId="3" xfId="0" applyFont="1" applyFill="1" applyBorder="1" applyAlignment="1" applyProtection="1">
      <alignment horizontal="center" vertical="center"/>
    </xf>
    <xf numFmtId="164" fontId="9" fillId="0" borderId="3" xfId="0" applyNumberFormat="1" applyFont="1" applyFill="1" applyBorder="1" applyAlignment="1" applyProtection="1">
      <alignment horizontal="center" vertical="center"/>
    </xf>
    <xf numFmtId="164" fontId="9" fillId="11" borderId="3" xfId="1" applyNumberFormat="1" applyFont="1" applyFill="1" applyBorder="1" applyAlignment="1" applyProtection="1">
      <alignment horizontal="center" vertical="center"/>
    </xf>
    <xf numFmtId="9" fontId="11" fillId="11" borderId="3" xfId="0" applyNumberFormat="1" applyFont="1" applyFill="1" applyBorder="1" applyAlignment="1" applyProtection="1">
      <alignment horizontal="center" vertical="center"/>
    </xf>
    <xf numFmtId="164" fontId="11" fillId="11" borderId="3" xfId="0" applyNumberFormat="1" applyFont="1" applyFill="1" applyBorder="1" applyAlignment="1" applyProtection="1">
      <alignment horizontal="center" vertical="center"/>
    </xf>
    <xf numFmtId="9" fontId="11" fillId="2" borderId="3" xfId="0" applyNumberFormat="1" applyFont="1" applyFill="1" applyBorder="1" applyAlignment="1" applyProtection="1">
      <alignment horizontal="center" vertical="center"/>
    </xf>
    <xf numFmtId="164" fontId="11" fillId="2" borderId="3" xfId="0" applyNumberFormat="1" applyFont="1" applyFill="1" applyBorder="1" applyAlignment="1" applyProtection="1">
      <alignment horizontal="center" vertical="center"/>
    </xf>
    <xf numFmtId="164" fontId="9" fillId="2" borderId="3" xfId="1" applyNumberFormat="1" applyFont="1" applyFill="1" applyBorder="1" applyAlignment="1" applyProtection="1">
      <alignment horizontal="center" vertical="center"/>
    </xf>
    <xf numFmtId="0" fontId="4" fillId="6" borderId="3" xfId="0" applyFont="1" applyFill="1" applyBorder="1" applyAlignment="1" applyProtection="1">
      <alignment horizontal="center" vertical="center"/>
    </xf>
    <xf numFmtId="0" fontId="20" fillId="14" borderId="3" xfId="0" applyFont="1" applyFill="1" applyBorder="1" applyAlignment="1" applyProtection="1">
      <alignment horizontal="center" vertical="center"/>
    </xf>
    <xf numFmtId="10" fontId="4" fillId="0" borderId="3" xfId="1" applyNumberFormat="1" applyFont="1" applyFill="1" applyBorder="1" applyAlignment="1" applyProtection="1">
      <alignment horizontal="center" vertical="center"/>
    </xf>
    <xf numFmtId="164" fontId="12" fillId="12" borderId="3" xfId="1" applyNumberFormat="1" applyFont="1" applyFill="1" applyBorder="1" applyAlignment="1" applyProtection="1">
      <alignment horizontal="center" vertical="center"/>
    </xf>
    <xf numFmtId="164" fontId="13" fillId="13" borderId="3" xfId="1" applyNumberFormat="1" applyFont="1" applyFill="1" applyBorder="1" applyAlignment="1" applyProtection="1">
      <alignment horizontal="center" vertical="center"/>
    </xf>
    <xf numFmtId="165" fontId="24" fillId="5" borderId="3" xfId="1" applyNumberFormat="1" applyFont="1" applyFill="1" applyBorder="1" applyAlignment="1" applyProtection="1">
      <alignment horizontal="center" vertical="center"/>
    </xf>
    <xf numFmtId="164" fontId="20" fillId="14" borderId="3" xfId="1" applyNumberFormat="1" applyFont="1" applyFill="1" applyBorder="1" applyAlignment="1" applyProtection="1">
      <alignment horizontal="center" vertical="center"/>
    </xf>
    <xf numFmtId="0" fontId="4" fillId="11" borderId="3" xfId="0" applyFont="1" applyFill="1" applyBorder="1" applyAlignment="1" applyProtection="1">
      <alignment horizontal="center" vertical="center"/>
    </xf>
    <xf numFmtId="164" fontId="4" fillId="0" borderId="3" xfId="1" applyNumberFormat="1" applyFont="1" applyFill="1" applyBorder="1" applyAlignment="1" applyProtection="1">
      <alignment horizontal="center" vertical="center"/>
      <protection locked="0"/>
    </xf>
    <xf numFmtId="9" fontId="16" fillId="11" borderId="3" xfId="0" applyNumberFormat="1" applyFont="1" applyFill="1" applyBorder="1" applyAlignment="1" applyProtection="1">
      <alignment horizontal="center" vertical="center"/>
      <protection locked="0"/>
    </xf>
    <xf numFmtId="164" fontId="10" fillId="11" borderId="3" xfId="0" applyNumberFormat="1" applyFont="1" applyFill="1" applyBorder="1" applyAlignment="1" applyProtection="1">
      <alignment horizontal="center" vertical="center"/>
    </xf>
    <xf numFmtId="164" fontId="4" fillId="0" borderId="3" xfId="0" applyNumberFormat="1" applyFont="1" applyFill="1" applyBorder="1" applyAlignment="1" applyProtection="1">
      <alignment horizontal="center" vertical="center"/>
      <protection locked="0"/>
    </xf>
    <xf numFmtId="9" fontId="16" fillId="2" borderId="3" xfId="0" applyNumberFormat="1" applyFont="1" applyFill="1" applyBorder="1" applyAlignment="1" applyProtection="1">
      <alignment horizontal="center" vertical="center"/>
      <protection locked="0"/>
    </xf>
    <xf numFmtId="164" fontId="10" fillId="2" borderId="3" xfId="0" applyNumberFormat="1" applyFont="1" applyFill="1" applyBorder="1" applyAlignment="1" applyProtection="1">
      <alignment horizontal="center" vertical="center"/>
    </xf>
    <xf numFmtId="8" fontId="22" fillId="10" borderId="3" xfId="1" applyNumberFormat="1" applyFont="1" applyFill="1" applyBorder="1" applyAlignment="1" applyProtection="1">
      <alignment horizontal="center" vertical="center"/>
    </xf>
    <xf numFmtId="8" fontId="22" fillId="10" borderId="0" xfId="1" applyNumberFormat="1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left" vertical="center" indent="2"/>
    </xf>
    <xf numFmtId="0" fontId="5" fillId="2" borderId="0" xfId="0" applyFont="1" applyFill="1" applyBorder="1" applyAlignment="1" applyProtection="1">
      <alignment horizontal="center" vertical="center"/>
    </xf>
    <xf numFmtId="0" fontId="5" fillId="11" borderId="0" xfId="0" applyFont="1" applyFill="1" applyBorder="1" applyAlignment="1" applyProtection="1">
      <alignment horizontal="center" vertical="center"/>
    </xf>
    <xf numFmtId="0" fontId="8" fillId="14" borderId="0" xfId="0" applyFont="1" applyFill="1" applyBorder="1" applyAlignment="1" applyProtection="1">
      <alignment horizontal="left" vertical="center" wrapText="1"/>
    </xf>
    <xf numFmtId="0" fontId="21" fillId="14" borderId="0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left" vertical="center" wrapText="1"/>
    </xf>
    <xf numFmtId="0" fontId="6" fillId="11" borderId="0" xfId="0" applyFont="1" applyFill="1" applyBorder="1" applyAlignment="1" applyProtection="1">
      <alignment horizontal="left" vertical="center" wrapText="1"/>
    </xf>
    <xf numFmtId="0" fontId="19" fillId="7" borderId="1" xfId="0" applyFont="1" applyFill="1" applyBorder="1" applyAlignment="1">
      <alignment horizontal="center" vertical="center"/>
    </xf>
    <xf numFmtId="8" fontId="18" fillId="8" borderId="1" xfId="0" applyNumberFormat="1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289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theme="2" tint="-0.499984740745262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1" indent="4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>
          <bgColor theme="0" tint="-4.9989318521683403E-2"/>
        </patternFill>
      </fill>
      <border>
        <top style="dotted">
          <color theme="0" tint="-0.499984740745262"/>
        </top>
        <bottom style="dotted">
          <color theme="0" tint="-0.499984740745262"/>
        </bottom>
        <horizontal/>
      </border>
    </dxf>
  </dxfs>
  <tableStyles count="1" defaultTableStyle="TableStyleMedium2" defaultPivotStyle="PivotStyleLight16">
    <tableStyle name="Estilo de Tabela 1" pivot="0" count="1" xr9:uid="{348F8ADD-5ACE-44AD-BA6C-794A3A344735}">
      <tableStyleElement type="firstRowStripe" dxfId="288"/>
    </tableStyle>
  </tableStyles>
  <colors>
    <mruColors>
      <color rgb="FF4FEB35"/>
      <color rgb="FFFF6600"/>
      <color rgb="FFCC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8154753383099839"/>
          <c:y val="0.18342280184095319"/>
          <c:w val="0.55898285441592532"/>
          <c:h val="0.54087120543947143"/>
        </c:manualLayout>
      </c:layout>
      <c:pie3DChart>
        <c:varyColors val="1"/>
        <c:ser>
          <c:idx val="0"/>
          <c:order val="0"/>
          <c:tx>
            <c:strRef>
              <c:f>Gráfico!$C$3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2D7-4163-B4A5-3FE7C42BF8C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72D7-4163-B4A5-3FE7C42BF8C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72D7-4163-B4A5-3FE7C42BF8C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72D7-4163-B4A5-3FE7C42BF8C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72D7-4163-B4A5-3FE7C42BF8C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72D7-4163-B4A5-3FE7C42BF8C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72D7-4163-B4A5-3FE7C42BF8C0}"/>
              </c:ext>
            </c:extLst>
          </c:dPt>
          <c:dLbls>
            <c:dLbl>
              <c:idx val="0"/>
              <c:layout>
                <c:manualLayout>
                  <c:x val="1.948051948051948E-2"/>
                  <c:y val="-0.1145584438493241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078927634045745"/>
                      <c:h val="0.1649005155631103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2D7-4163-B4A5-3FE7C42BF8C0}"/>
                </c:ext>
              </c:extLst>
            </c:dLbl>
            <c:dLbl>
              <c:idx val="1"/>
              <c:layout>
                <c:manualLayout>
                  <c:x val="4.329004329004329E-3"/>
                  <c:y val="2.22752529707019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D7-4163-B4A5-3FE7C42BF8C0}"/>
                </c:ext>
              </c:extLst>
            </c:dLbl>
            <c:dLbl>
              <c:idx val="2"/>
              <c:layout>
                <c:manualLayout>
                  <c:x val="-3.896103896103896E-2"/>
                  <c:y val="2.22752529707019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D7-4163-B4A5-3FE7C42BF8C0}"/>
                </c:ext>
              </c:extLst>
            </c:dLbl>
            <c:dLbl>
              <c:idx val="3"/>
              <c:layout>
                <c:manualLayout>
                  <c:x val="-3.2467532467532464E-2"/>
                  <c:y val="-1.27287159832582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D7-4163-B4A5-3FE7C42BF8C0}"/>
                </c:ext>
              </c:extLst>
            </c:dLbl>
            <c:dLbl>
              <c:idx val="4"/>
              <c:layout>
                <c:manualLayout>
                  <c:x val="-2.380952380952380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2D7-4163-B4A5-3FE7C42BF8C0}"/>
                </c:ext>
              </c:extLst>
            </c:dLbl>
            <c:dLbl>
              <c:idx val="5"/>
              <c:layout>
                <c:manualLayout>
                  <c:x val="-6.4935064935064939E-3"/>
                  <c:y val="-6.046140092047662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2D7-4163-B4A5-3FE7C42BF8C0}"/>
                </c:ext>
              </c:extLst>
            </c:dLbl>
            <c:dLbl>
              <c:idx val="6"/>
              <c:layout>
                <c:manualLayout>
                  <c:x val="0.1588324780297985"/>
                  <c:y val="-2.94824430729942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6479445751099293"/>
                      <c:h val="0.1649005155631103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2D7-4163-B4A5-3FE7C42BF8C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Gráfico!$B$4:$B$10</c:f>
              <c:strCache>
                <c:ptCount val="7"/>
                <c:pt idx="0">
                  <c:v>Necessidades Básicas</c:v>
                </c:pt>
                <c:pt idx="1">
                  <c:v>Lazer</c:v>
                </c:pt>
                <c:pt idx="2">
                  <c:v>Emergência</c:v>
                </c:pt>
                <c:pt idx="3">
                  <c:v>Saúde</c:v>
                </c:pt>
                <c:pt idx="4">
                  <c:v>Educação</c:v>
                </c:pt>
                <c:pt idx="5">
                  <c:v>Metas</c:v>
                </c:pt>
                <c:pt idx="6">
                  <c:v>Independência Financeira</c:v>
                </c:pt>
              </c:strCache>
            </c:strRef>
          </c:cat>
          <c:val>
            <c:numRef>
              <c:f>Gráfico!$C$4:$C$10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7-4163-B4A5-3FE7C42BF8C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Receita e Despesa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Gráfico!$B$24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Gráfico!$A$25:$A$36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Gráfico!$B$25:$B$36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D-4947-9840-6F19E84A9F9A}"/>
            </c:ext>
          </c:extLst>
        </c:ser>
        <c:ser>
          <c:idx val="1"/>
          <c:order val="1"/>
          <c:tx>
            <c:strRef>
              <c:f>Gráfico!$C$24</c:f>
              <c:strCache>
                <c:ptCount val="1"/>
                <c:pt idx="0">
                  <c:v>Despesa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Gráfico!$A$25:$A$36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Gráfico!$C$25:$C$36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D-4947-9840-6F19E84A9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335376"/>
        <c:axId val="328331440"/>
      </c:barChart>
      <c:catAx>
        <c:axId val="32833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1440"/>
        <c:crosses val="autoZero"/>
        <c:auto val="1"/>
        <c:lblAlgn val="ctr"/>
        <c:lblOffset val="100"/>
        <c:noMultiLvlLbl val="0"/>
      </c:catAx>
      <c:valAx>
        <c:axId val="32833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Gráfico!$B$42</c:f>
              <c:strCache>
                <c:ptCount val="1"/>
                <c:pt idx="0">
                  <c:v>Dívida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strRef>
              <c:f>Gráfico!$A$43:$A$54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Gráfico!$B$43:$B$54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2-4869-B367-79866A425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023464"/>
        <c:axId val="399022152"/>
      </c:areaChart>
      <c:catAx>
        <c:axId val="399023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022152"/>
        <c:crosses val="autoZero"/>
        <c:auto val="1"/>
        <c:lblAlgn val="ctr"/>
        <c:lblOffset val="100"/>
        <c:noMultiLvlLbl val="0"/>
      </c:catAx>
      <c:valAx>
        <c:axId val="39902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023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B0E780B7-0614-42BF-BF05-893D5AA07940}">
          <cx:dataLabels pos="ctr">
            <cx:visibility seriesName="0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1150937</xdr:colOff>
      <xdr:row>1</xdr:row>
      <xdr:rowOff>107155</xdr:rowOff>
    </xdr:from>
    <xdr:to>
      <xdr:col>3</xdr:col>
      <xdr:colOff>1412876</xdr:colOff>
      <xdr:row>1</xdr:row>
      <xdr:rowOff>345280</xdr:rowOff>
    </xdr:to>
    <xdr:sp macro="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AF5CFE4C-8E8E-4522-A8AF-09DF215DCA31}"/>
            </a:ext>
          </a:extLst>
        </xdr:cNvPr>
        <xdr:cNvSpPr/>
      </xdr:nvSpPr>
      <xdr:spPr>
        <a:xfrm>
          <a:off x="4274343" y="194468"/>
          <a:ext cx="261939" cy="2381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292148</xdr:colOff>
      <xdr:row>1</xdr:row>
      <xdr:rowOff>136525</xdr:rowOff>
    </xdr:from>
    <xdr:to>
      <xdr:col>3</xdr:col>
      <xdr:colOff>1087391</xdr:colOff>
      <xdr:row>1</xdr:row>
      <xdr:rowOff>301624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514E636C-FDFF-4BAE-9ED6-E68BEBC6313F}"/>
            </a:ext>
          </a:extLst>
        </xdr:cNvPr>
        <xdr:cNvSpPr/>
      </xdr:nvSpPr>
      <xdr:spPr>
        <a:xfrm>
          <a:off x="3416348" y="222250"/>
          <a:ext cx="795243" cy="165099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292148</xdr:colOff>
      <xdr:row>1</xdr:row>
      <xdr:rowOff>344091</xdr:rowOff>
    </xdr:from>
    <xdr:to>
      <xdr:col>3</xdr:col>
      <xdr:colOff>1087391</xdr:colOff>
      <xdr:row>2</xdr:row>
      <xdr:rowOff>50799</xdr:rowOff>
    </xdr:to>
    <xdr:sp macro="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430893C0-06E8-4C73-898A-A883D78A48B2}"/>
            </a:ext>
          </a:extLst>
        </xdr:cNvPr>
        <xdr:cNvSpPr/>
      </xdr:nvSpPr>
      <xdr:spPr>
        <a:xfrm>
          <a:off x="3416348" y="429816"/>
          <a:ext cx="795243" cy="154383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292148</xdr:colOff>
      <xdr:row>0</xdr:row>
      <xdr:rowOff>15875</xdr:rowOff>
    </xdr:from>
    <xdr:to>
      <xdr:col>3</xdr:col>
      <xdr:colOff>1087391</xdr:colOff>
      <xdr:row>1</xdr:row>
      <xdr:rowOff>98425</xdr:rowOff>
    </xdr:to>
    <xdr:sp macro="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390B2601-D1EC-485D-8470-63F6FCB833E7}"/>
            </a:ext>
          </a:extLst>
        </xdr:cNvPr>
        <xdr:cNvSpPr/>
      </xdr:nvSpPr>
      <xdr:spPr>
        <a:xfrm>
          <a:off x="3416348" y="15875"/>
          <a:ext cx="795243" cy="1682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2708</xdr:colOff>
      <xdr:row>16</xdr:row>
      <xdr:rowOff>162266</xdr:rowOff>
    </xdr:from>
    <xdr:to>
      <xdr:col>2</xdr:col>
      <xdr:colOff>6700</xdr:colOff>
      <xdr:row>17</xdr:row>
      <xdr:rowOff>106042</xdr:rowOff>
    </xdr:to>
    <xdr:sp macro="[0]!Clique01" textlink="">
      <xdr:nvSpPr>
        <xdr:cNvPr id="8" name="btnshow1">
          <a:extLst>
            <a:ext uri="{FF2B5EF4-FFF2-40B4-BE49-F238E27FC236}">
              <a16:creationId xmlns:a16="http://schemas.microsoft.com/office/drawing/2014/main" id="{9E90734D-CDE0-4D55-8ED4-974BF71DD906}"/>
            </a:ext>
          </a:extLst>
        </xdr:cNvPr>
        <xdr:cNvSpPr/>
      </xdr:nvSpPr>
      <xdr:spPr>
        <a:xfrm>
          <a:off x="145036" y="747999"/>
          <a:ext cx="108000" cy="108000"/>
        </a:xfrm>
        <a:prstGeom prst="mathPlus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4355</xdr:colOff>
      <xdr:row>17</xdr:row>
      <xdr:rowOff>3192</xdr:rowOff>
    </xdr:from>
    <xdr:to>
      <xdr:col>2</xdr:col>
      <xdr:colOff>8347</xdr:colOff>
      <xdr:row>17</xdr:row>
      <xdr:rowOff>111192</xdr:rowOff>
    </xdr:to>
    <xdr:sp macro="[0]!Clique01" textlink="">
      <xdr:nvSpPr>
        <xdr:cNvPr id="9" name="btnhide1" hidden="1">
          <a:extLst>
            <a:ext uri="{FF2B5EF4-FFF2-40B4-BE49-F238E27FC236}">
              <a16:creationId xmlns:a16="http://schemas.microsoft.com/office/drawing/2014/main" id="{52AB4E5A-A360-40FF-A6AC-ADADC98A2834}"/>
            </a:ext>
          </a:extLst>
        </xdr:cNvPr>
        <xdr:cNvSpPr/>
      </xdr:nvSpPr>
      <xdr:spPr>
        <a:xfrm rot="2551083">
          <a:off x="146683" y="753149"/>
          <a:ext cx="108000" cy="108000"/>
        </a:xfrm>
        <a:prstGeom prst="mathPlus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8393</xdr:colOff>
      <xdr:row>5</xdr:row>
      <xdr:rowOff>3833</xdr:rowOff>
    </xdr:from>
    <xdr:to>
      <xdr:col>2</xdr:col>
      <xdr:colOff>12385</xdr:colOff>
      <xdr:row>5</xdr:row>
      <xdr:rowOff>111833</xdr:rowOff>
    </xdr:to>
    <xdr:sp macro="[0]!Clique02" textlink="">
      <xdr:nvSpPr>
        <xdr:cNvPr id="10" name="btnshow2" hidden="1">
          <a:extLst>
            <a:ext uri="{FF2B5EF4-FFF2-40B4-BE49-F238E27FC236}">
              <a16:creationId xmlns:a16="http://schemas.microsoft.com/office/drawing/2014/main" id="{5E79E869-61E7-493A-AEA1-7D132A4D33E3}"/>
            </a:ext>
          </a:extLst>
        </xdr:cNvPr>
        <xdr:cNvSpPr/>
      </xdr:nvSpPr>
      <xdr:spPr>
        <a:xfrm>
          <a:off x="150721" y="1399738"/>
          <a:ext cx="108000" cy="108000"/>
        </a:xfrm>
        <a:prstGeom prst="mathPlus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12848</xdr:colOff>
      <xdr:row>38</xdr:row>
      <xdr:rowOff>4526</xdr:rowOff>
    </xdr:from>
    <xdr:to>
      <xdr:col>2</xdr:col>
      <xdr:colOff>16840</xdr:colOff>
      <xdr:row>38</xdr:row>
      <xdr:rowOff>112526</xdr:rowOff>
    </xdr:to>
    <xdr:sp macro="[0]!Clique03" textlink="">
      <xdr:nvSpPr>
        <xdr:cNvPr id="11" name="btnshow3">
          <a:extLst>
            <a:ext uri="{FF2B5EF4-FFF2-40B4-BE49-F238E27FC236}">
              <a16:creationId xmlns:a16="http://schemas.microsoft.com/office/drawing/2014/main" id="{E2B160C8-E181-403B-A6AA-12C3DF6DFF9E}"/>
            </a:ext>
          </a:extLst>
        </xdr:cNvPr>
        <xdr:cNvSpPr/>
      </xdr:nvSpPr>
      <xdr:spPr>
        <a:xfrm>
          <a:off x="155176" y="2210604"/>
          <a:ext cx="108000" cy="108000"/>
        </a:xfrm>
        <a:prstGeom prst="mathPlus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6968</xdr:colOff>
      <xdr:row>60</xdr:row>
      <xdr:rowOff>7991</xdr:rowOff>
    </xdr:from>
    <xdr:to>
      <xdr:col>2</xdr:col>
      <xdr:colOff>10960</xdr:colOff>
      <xdr:row>60</xdr:row>
      <xdr:rowOff>115991</xdr:rowOff>
    </xdr:to>
    <xdr:sp macro="[0]!Clique04" textlink="">
      <xdr:nvSpPr>
        <xdr:cNvPr id="12" name="btnshow4">
          <a:extLst>
            <a:ext uri="{FF2B5EF4-FFF2-40B4-BE49-F238E27FC236}">
              <a16:creationId xmlns:a16="http://schemas.microsoft.com/office/drawing/2014/main" id="{D3FCC245-931B-46DE-BD21-7B6937C772AC}"/>
            </a:ext>
          </a:extLst>
        </xdr:cNvPr>
        <xdr:cNvSpPr/>
      </xdr:nvSpPr>
      <xdr:spPr>
        <a:xfrm>
          <a:off x="149296" y="3035189"/>
          <a:ext cx="108000" cy="108000"/>
        </a:xfrm>
        <a:prstGeom prst="mathPlus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5910</xdr:colOff>
      <xdr:row>106</xdr:row>
      <xdr:rowOff>161632</xdr:rowOff>
    </xdr:from>
    <xdr:to>
      <xdr:col>2</xdr:col>
      <xdr:colOff>9902</xdr:colOff>
      <xdr:row>107</xdr:row>
      <xdr:rowOff>105408</xdr:rowOff>
    </xdr:to>
    <xdr:sp macro="[0]!Clique05" textlink="">
      <xdr:nvSpPr>
        <xdr:cNvPr id="13" name="btnshow5">
          <a:extLst>
            <a:ext uri="{FF2B5EF4-FFF2-40B4-BE49-F238E27FC236}">
              <a16:creationId xmlns:a16="http://schemas.microsoft.com/office/drawing/2014/main" id="{93D4E161-51D0-4AFC-BBE0-678EB3BC2396}"/>
            </a:ext>
          </a:extLst>
        </xdr:cNvPr>
        <xdr:cNvSpPr/>
      </xdr:nvSpPr>
      <xdr:spPr>
        <a:xfrm>
          <a:off x="148238" y="3845727"/>
          <a:ext cx="108000" cy="108000"/>
        </a:xfrm>
        <a:prstGeom prst="mathPlus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5217</xdr:colOff>
      <xdr:row>81</xdr:row>
      <xdr:rowOff>4268</xdr:rowOff>
    </xdr:from>
    <xdr:to>
      <xdr:col>2</xdr:col>
      <xdr:colOff>9209</xdr:colOff>
      <xdr:row>81</xdr:row>
      <xdr:rowOff>112268</xdr:rowOff>
    </xdr:to>
    <xdr:sp macro="[0]!Clique06" textlink="">
      <xdr:nvSpPr>
        <xdr:cNvPr id="14" name="btnshow6">
          <a:extLst>
            <a:ext uri="{FF2B5EF4-FFF2-40B4-BE49-F238E27FC236}">
              <a16:creationId xmlns:a16="http://schemas.microsoft.com/office/drawing/2014/main" id="{E888D34B-196F-4AE8-A478-AA562F07DF0B}"/>
            </a:ext>
          </a:extLst>
        </xdr:cNvPr>
        <xdr:cNvSpPr/>
      </xdr:nvSpPr>
      <xdr:spPr>
        <a:xfrm>
          <a:off x="147545" y="4673708"/>
          <a:ext cx="108000" cy="108000"/>
        </a:xfrm>
        <a:prstGeom prst="mathPlus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5545</xdr:colOff>
      <xdr:row>96</xdr:row>
      <xdr:rowOff>10107</xdr:rowOff>
    </xdr:from>
    <xdr:to>
      <xdr:col>2</xdr:col>
      <xdr:colOff>9537</xdr:colOff>
      <xdr:row>96</xdr:row>
      <xdr:rowOff>118107</xdr:rowOff>
    </xdr:to>
    <xdr:sp macro="[0]!Clique07" textlink="">
      <xdr:nvSpPr>
        <xdr:cNvPr id="15" name="btnshow7">
          <a:extLst>
            <a:ext uri="{FF2B5EF4-FFF2-40B4-BE49-F238E27FC236}">
              <a16:creationId xmlns:a16="http://schemas.microsoft.com/office/drawing/2014/main" id="{1D7E250A-E957-4560-B38C-2A583299C12B}"/>
            </a:ext>
          </a:extLst>
        </xdr:cNvPr>
        <xdr:cNvSpPr/>
      </xdr:nvSpPr>
      <xdr:spPr>
        <a:xfrm>
          <a:off x="147873" y="5500667"/>
          <a:ext cx="108000" cy="108000"/>
        </a:xfrm>
        <a:prstGeom prst="mathPlus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11019</xdr:colOff>
      <xdr:row>118</xdr:row>
      <xdr:rowOff>3210</xdr:rowOff>
    </xdr:from>
    <xdr:to>
      <xdr:col>2</xdr:col>
      <xdr:colOff>15011</xdr:colOff>
      <xdr:row>118</xdr:row>
      <xdr:rowOff>111210</xdr:rowOff>
    </xdr:to>
    <xdr:sp macro="[0]!Clique08" textlink="">
      <xdr:nvSpPr>
        <xdr:cNvPr id="16" name="btnshow8">
          <a:extLst>
            <a:ext uri="{FF2B5EF4-FFF2-40B4-BE49-F238E27FC236}">
              <a16:creationId xmlns:a16="http://schemas.microsoft.com/office/drawing/2014/main" id="{54CEFB94-A26E-48C3-B53A-7505694D0D45}"/>
            </a:ext>
          </a:extLst>
        </xdr:cNvPr>
        <xdr:cNvSpPr/>
      </xdr:nvSpPr>
      <xdr:spPr>
        <a:xfrm>
          <a:off x="153347" y="6314891"/>
          <a:ext cx="108000" cy="108000"/>
        </a:xfrm>
        <a:prstGeom prst="mathPlus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6603</xdr:colOff>
      <xdr:row>29</xdr:row>
      <xdr:rowOff>6933</xdr:rowOff>
    </xdr:from>
    <xdr:to>
      <xdr:col>2</xdr:col>
      <xdr:colOff>10595</xdr:colOff>
      <xdr:row>29</xdr:row>
      <xdr:rowOff>114933</xdr:rowOff>
    </xdr:to>
    <xdr:sp macro="[0]!Clique09" textlink="">
      <xdr:nvSpPr>
        <xdr:cNvPr id="17" name="btnshow9">
          <a:extLst>
            <a:ext uri="{FF2B5EF4-FFF2-40B4-BE49-F238E27FC236}">
              <a16:creationId xmlns:a16="http://schemas.microsoft.com/office/drawing/2014/main" id="{41CCD220-F8A0-4603-AB88-C7F16216F413}"/>
            </a:ext>
          </a:extLst>
        </xdr:cNvPr>
        <xdr:cNvSpPr/>
      </xdr:nvSpPr>
      <xdr:spPr>
        <a:xfrm>
          <a:off x="148931" y="7139735"/>
          <a:ext cx="108000" cy="108000"/>
        </a:xfrm>
        <a:prstGeom prst="mathPlus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6275</xdr:colOff>
      <xdr:row>130</xdr:row>
      <xdr:rowOff>1459</xdr:rowOff>
    </xdr:from>
    <xdr:to>
      <xdr:col>2</xdr:col>
      <xdr:colOff>10267</xdr:colOff>
      <xdr:row>130</xdr:row>
      <xdr:rowOff>109459</xdr:rowOff>
    </xdr:to>
    <xdr:sp macro="[0]!Clique10" textlink="">
      <xdr:nvSpPr>
        <xdr:cNvPr id="18" name="btnshow10">
          <a:extLst>
            <a:ext uri="{FF2B5EF4-FFF2-40B4-BE49-F238E27FC236}">
              <a16:creationId xmlns:a16="http://schemas.microsoft.com/office/drawing/2014/main" id="{9432F1A3-E766-4AD5-8E95-117ABA72FB89}"/>
            </a:ext>
          </a:extLst>
        </xdr:cNvPr>
        <xdr:cNvSpPr/>
      </xdr:nvSpPr>
      <xdr:spPr>
        <a:xfrm>
          <a:off x="148603" y="7955381"/>
          <a:ext cx="108000" cy="108000"/>
        </a:xfrm>
        <a:prstGeom prst="mathPlus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5302</xdr:colOff>
      <xdr:row>5</xdr:row>
      <xdr:rowOff>7526</xdr:rowOff>
    </xdr:from>
    <xdr:to>
      <xdr:col>2</xdr:col>
      <xdr:colOff>9294</xdr:colOff>
      <xdr:row>5</xdr:row>
      <xdr:rowOff>115526</xdr:rowOff>
    </xdr:to>
    <xdr:sp macro="[0]!Clique02" textlink="">
      <xdr:nvSpPr>
        <xdr:cNvPr id="19" name="btnhide2">
          <a:extLst>
            <a:ext uri="{FF2B5EF4-FFF2-40B4-BE49-F238E27FC236}">
              <a16:creationId xmlns:a16="http://schemas.microsoft.com/office/drawing/2014/main" id="{165B8438-EAAB-4ABF-A1D8-1B1B7EF66201}"/>
            </a:ext>
          </a:extLst>
        </xdr:cNvPr>
        <xdr:cNvSpPr/>
      </xdr:nvSpPr>
      <xdr:spPr>
        <a:xfrm rot="2551083">
          <a:off x="147630" y="5344810"/>
          <a:ext cx="108000" cy="108000"/>
        </a:xfrm>
        <a:prstGeom prst="mathPlus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1817</xdr:colOff>
      <xdr:row>38</xdr:row>
      <xdr:rowOff>3109</xdr:rowOff>
    </xdr:from>
    <xdr:to>
      <xdr:col>2</xdr:col>
      <xdr:colOff>5809</xdr:colOff>
      <xdr:row>38</xdr:row>
      <xdr:rowOff>111109</xdr:rowOff>
    </xdr:to>
    <xdr:sp macro="[0]!Clique03" textlink="">
      <xdr:nvSpPr>
        <xdr:cNvPr id="21" name="btnhide3" hidden="1">
          <a:extLst>
            <a:ext uri="{FF2B5EF4-FFF2-40B4-BE49-F238E27FC236}">
              <a16:creationId xmlns:a16="http://schemas.microsoft.com/office/drawing/2014/main" id="{21296BD3-3F2D-48E1-9A06-A6C26062638F}"/>
            </a:ext>
          </a:extLst>
        </xdr:cNvPr>
        <xdr:cNvSpPr/>
      </xdr:nvSpPr>
      <xdr:spPr>
        <a:xfrm rot="2551083">
          <a:off x="144145" y="6971687"/>
          <a:ext cx="108000" cy="108000"/>
        </a:xfrm>
        <a:prstGeom prst="mathPlus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10282</xdr:colOff>
      <xdr:row>60</xdr:row>
      <xdr:rowOff>3335</xdr:rowOff>
    </xdr:from>
    <xdr:to>
      <xdr:col>2</xdr:col>
      <xdr:colOff>14274</xdr:colOff>
      <xdr:row>60</xdr:row>
      <xdr:rowOff>111335</xdr:rowOff>
    </xdr:to>
    <xdr:sp macro="[0]!Clique04" textlink="">
      <xdr:nvSpPr>
        <xdr:cNvPr id="22" name="btnhide4" hidden="1">
          <a:extLst>
            <a:ext uri="{FF2B5EF4-FFF2-40B4-BE49-F238E27FC236}">
              <a16:creationId xmlns:a16="http://schemas.microsoft.com/office/drawing/2014/main" id="{A4501BF9-008D-43B7-926A-8185D99D0F31}"/>
            </a:ext>
          </a:extLst>
        </xdr:cNvPr>
        <xdr:cNvSpPr/>
      </xdr:nvSpPr>
      <xdr:spPr>
        <a:xfrm rot="2551083">
          <a:off x="152610" y="12391309"/>
          <a:ext cx="108000" cy="108000"/>
        </a:xfrm>
        <a:prstGeom prst="mathPlus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4443</xdr:colOff>
      <xdr:row>107</xdr:row>
      <xdr:rowOff>8809</xdr:rowOff>
    </xdr:from>
    <xdr:to>
      <xdr:col>2</xdr:col>
      <xdr:colOff>8435</xdr:colOff>
      <xdr:row>107</xdr:row>
      <xdr:rowOff>116809</xdr:rowOff>
    </xdr:to>
    <xdr:sp macro="[0]!Clique05" textlink="">
      <xdr:nvSpPr>
        <xdr:cNvPr id="23" name="btnhide5" hidden="1">
          <a:extLst>
            <a:ext uri="{FF2B5EF4-FFF2-40B4-BE49-F238E27FC236}">
              <a16:creationId xmlns:a16="http://schemas.microsoft.com/office/drawing/2014/main" id="{8E02671A-C8ED-4827-9A63-CFDA8EC97FD9}"/>
            </a:ext>
          </a:extLst>
        </xdr:cNvPr>
        <xdr:cNvSpPr/>
      </xdr:nvSpPr>
      <xdr:spPr>
        <a:xfrm rot="2551083">
          <a:off x="146771" y="16995059"/>
          <a:ext cx="108000" cy="108000"/>
        </a:xfrm>
        <a:prstGeom prst="mathPlus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3751</xdr:colOff>
      <xdr:row>81</xdr:row>
      <xdr:rowOff>4027</xdr:rowOff>
    </xdr:from>
    <xdr:to>
      <xdr:col>2</xdr:col>
      <xdr:colOff>7743</xdr:colOff>
      <xdr:row>81</xdr:row>
      <xdr:rowOff>112027</xdr:rowOff>
    </xdr:to>
    <xdr:sp macro="[0]!Clique06" textlink="">
      <xdr:nvSpPr>
        <xdr:cNvPr id="24" name="btnhide6" hidden="1">
          <a:extLst>
            <a:ext uri="{FF2B5EF4-FFF2-40B4-BE49-F238E27FC236}">
              <a16:creationId xmlns:a16="http://schemas.microsoft.com/office/drawing/2014/main" id="{EB9A96EB-1D67-473B-AFF7-0ED59AE7016D}"/>
            </a:ext>
          </a:extLst>
        </xdr:cNvPr>
        <xdr:cNvSpPr/>
      </xdr:nvSpPr>
      <xdr:spPr>
        <a:xfrm rot="2551083">
          <a:off x="146079" y="21752777"/>
          <a:ext cx="108000" cy="108000"/>
        </a:xfrm>
        <a:prstGeom prst="mathPlus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9552</xdr:colOff>
      <xdr:row>96</xdr:row>
      <xdr:rowOff>5450</xdr:rowOff>
    </xdr:from>
    <xdr:to>
      <xdr:col>2</xdr:col>
      <xdr:colOff>13544</xdr:colOff>
      <xdr:row>96</xdr:row>
      <xdr:rowOff>113450</xdr:rowOff>
    </xdr:to>
    <xdr:sp macro="[0]!Clique07" textlink="">
      <xdr:nvSpPr>
        <xdr:cNvPr id="25" name="btnhide7" hidden="1">
          <a:extLst>
            <a:ext uri="{FF2B5EF4-FFF2-40B4-BE49-F238E27FC236}">
              <a16:creationId xmlns:a16="http://schemas.microsoft.com/office/drawing/2014/main" id="{5ED1812C-2637-4C47-BC2E-7AE57FA33E1D}"/>
            </a:ext>
          </a:extLst>
        </xdr:cNvPr>
        <xdr:cNvSpPr/>
      </xdr:nvSpPr>
      <xdr:spPr>
        <a:xfrm rot="2551083">
          <a:off x="151880" y="26352476"/>
          <a:ext cx="108000" cy="108000"/>
        </a:xfrm>
        <a:prstGeom prst="mathPlus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4080</xdr:colOff>
      <xdr:row>118</xdr:row>
      <xdr:rowOff>4393</xdr:rowOff>
    </xdr:from>
    <xdr:to>
      <xdr:col>2</xdr:col>
      <xdr:colOff>8072</xdr:colOff>
      <xdr:row>118</xdr:row>
      <xdr:rowOff>112393</xdr:rowOff>
    </xdr:to>
    <xdr:sp macro="[0]!Clique08" textlink="">
      <xdr:nvSpPr>
        <xdr:cNvPr id="26" name="btnhide8" hidden="1">
          <a:extLst>
            <a:ext uri="{FF2B5EF4-FFF2-40B4-BE49-F238E27FC236}">
              <a16:creationId xmlns:a16="http://schemas.microsoft.com/office/drawing/2014/main" id="{70DD9E9A-6ED6-4461-B7E0-CE9B4560DCC5}"/>
            </a:ext>
          </a:extLst>
        </xdr:cNvPr>
        <xdr:cNvSpPr/>
      </xdr:nvSpPr>
      <xdr:spPr>
        <a:xfrm rot="2551083">
          <a:off x="146408" y="30621246"/>
          <a:ext cx="108000" cy="108000"/>
        </a:xfrm>
        <a:prstGeom prst="mathPlus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3713</xdr:colOff>
      <xdr:row>28</xdr:row>
      <xdr:rowOff>162085</xdr:rowOff>
    </xdr:from>
    <xdr:to>
      <xdr:col>2</xdr:col>
      <xdr:colOff>7705</xdr:colOff>
      <xdr:row>29</xdr:row>
      <xdr:rowOff>105861</xdr:rowOff>
    </xdr:to>
    <xdr:sp macro="[0]!Clique09" textlink="">
      <xdr:nvSpPr>
        <xdr:cNvPr id="27" name="btnhide9" hidden="1">
          <a:extLst>
            <a:ext uri="{FF2B5EF4-FFF2-40B4-BE49-F238E27FC236}">
              <a16:creationId xmlns:a16="http://schemas.microsoft.com/office/drawing/2014/main" id="{5ACE7A47-E29B-45CE-8D7F-66B13FA593C4}"/>
            </a:ext>
          </a:extLst>
        </xdr:cNvPr>
        <xdr:cNvSpPr/>
      </xdr:nvSpPr>
      <xdr:spPr>
        <a:xfrm rot="2551083">
          <a:off x="146041" y="35048766"/>
          <a:ext cx="108000" cy="108000"/>
        </a:xfrm>
        <a:prstGeom prst="mathPlus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9550</xdr:colOff>
      <xdr:row>130</xdr:row>
      <xdr:rowOff>7384</xdr:rowOff>
    </xdr:from>
    <xdr:to>
      <xdr:col>2</xdr:col>
      <xdr:colOff>13542</xdr:colOff>
      <xdr:row>130</xdr:row>
      <xdr:rowOff>115384</xdr:rowOff>
    </xdr:to>
    <xdr:sp macro="[0]!Clique10" textlink="">
      <xdr:nvSpPr>
        <xdr:cNvPr id="28" name="btnhide10" hidden="1">
          <a:extLst>
            <a:ext uri="{FF2B5EF4-FFF2-40B4-BE49-F238E27FC236}">
              <a16:creationId xmlns:a16="http://schemas.microsoft.com/office/drawing/2014/main" id="{A3B2E2A5-51B3-486A-A351-37A5B0203F02}"/>
            </a:ext>
          </a:extLst>
        </xdr:cNvPr>
        <xdr:cNvSpPr/>
      </xdr:nvSpPr>
      <xdr:spPr>
        <a:xfrm rot="2551083">
          <a:off x="151878" y="37357427"/>
          <a:ext cx="108000" cy="108000"/>
        </a:xfrm>
        <a:prstGeom prst="mathPlus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48683</xdr:colOff>
      <xdr:row>0</xdr:row>
      <xdr:rowOff>25400</xdr:rowOff>
    </xdr:from>
    <xdr:to>
      <xdr:col>0</xdr:col>
      <xdr:colOff>13808</xdr:colOff>
      <xdr:row>1</xdr:row>
      <xdr:rowOff>47675</xdr:rowOff>
    </xdr:to>
    <xdr:sp macro="[0]!Clique00" textlink="">
      <xdr:nvSpPr>
        <xdr:cNvPr id="29" name="btnshow0" hidden="1">
          <a:extLst>
            <a:ext uri="{FF2B5EF4-FFF2-40B4-BE49-F238E27FC236}">
              <a16:creationId xmlns:a16="http://schemas.microsoft.com/office/drawing/2014/main" id="{E9C72CEA-47BE-45E7-8FBF-153C00C29AFF}"/>
            </a:ext>
          </a:extLst>
        </xdr:cNvPr>
        <xdr:cNvSpPr/>
      </xdr:nvSpPr>
      <xdr:spPr>
        <a:xfrm>
          <a:off x="48683" y="25400"/>
          <a:ext cx="108000" cy="108000"/>
        </a:xfrm>
        <a:prstGeom prst="mathPlus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351423</xdr:colOff>
      <xdr:row>0</xdr:row>
      <xdr:rowOff>69054</xdr:rowOff>
    </xdr:from>
    <xdr:to>
      <xdr:col>3</xdr:col>
      <xdr:colOff>416718</xdr:colOff>
      <xdr:row>1</xdr:row>
      <xdr:rowOff>55963</xdr:rowOff>
    </xdr:to>
    <xdr:sp macro="[0]!Realizado" textlink="">
      <xdr:nvSpPr>
        <xdr:cNvPr id="2" name="Elipse 1">
          <a:extLst>
            <a:ext uri="{FF2B5EF4-FFF2-40B4-BE49-F238E27FC236}">
              <a16:creationId xmlns:a16="http://schemas.microsoft.com/office/drawing/2014/main" id="{6CEE023F-D746-494F-83D3-F9ECBAEB1221}"/>
            </a:ext>
          </a:extLst>
        </xdr:cNvPr>
        <xdr:cNvSpPr/>
      </xdr:nvSpPr>
      <xdr:spPr>
        <a:xfrm>
          <a:off x="3471927" y="69054"/>
          <a:ext cx="65295" cy="72208"/>
        </a:xfrm>
        <a:prstGeom prst="ellipse">
          <a:avLst/>
        </a:prstGeom>
        <a:solidFill>
          <a:srgbClr val="4FEB3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455882</xdr:colOff>
      <xdr:row>0</xdr:row>
      <xdr:rowOff>23248</xdr:rowOff>
    </xdr:from>
    <xdr:to>
      <xdr:col>3</xdr:col>
      <xdr:colOff>1023937</xdr:colOff>
      <xdr:row>1</xdr:row>
      <xdr:rowOff>93433</xdr:rowOff>
    </xdr:to>
    <xdr:sp macro="[0]!Realizado" textlink="">
      <xdr:nvSpPr>
        <xdr:cNvPr id="3" name="CaixaDeTexto 2">
          <a:extLst>
            <a:ext uri="{FF2B5EF4-FFF2-40B4-BE49-F238E27FC236}">
              <a16:creationId xmlns:a16="http://schemas.microsoft.com/office/drawing/2014/main" id="{889AFA7E-DF0E-4EFF-B914-588D761F6A69}"/>
            </a:ext>
          </a:extLst>
        </xdr:cNvPr>
        <xdr:cNvSpPr txBox="1"/>
      </xdr:nvSpPr>
      <xdr:spPr>
        <a:xfrm>
          <a:off x="3580082" y="23248"/>
          <a:ext cx="568055" cy="1559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pt-BR" sz="1000" b="1"/>
            <a:t>Realizado</a:t>
          </a:r>
        </a:p>
      </xdr:txBody>
    </xdr:sp>
    <xdr:clientData/>
  </xdr:twoCellAnchor>
  <xdr:twoCellAnchor>
    <xdr:from>
      <xdr:col>3</xdr:col>
      <xdr:colOff>351423</xdr:colOff>
      <xdr:row>1</xdr:row>
      <xdr:rowOff>181915</xdr:rowOff>
    </xdr:from>
    <xdr:to>
      <xdr:col>3</xdr:col>
      <xdr:colOff>416718</xdr:colOff>
      <xdr:row>1</xdr:row>
      <xdr:rowOff>252800</xdr:rowOff>
    </xdr:to>
    <xdr:sp macro="[0]!Agendado" textlink="">
      <xdr:nvSpPr>
        <xdr:cNvPr id="30" name="Elipse 29">
          <a:extLst>
            <a:ext uri="{FF2B5EF4-FFF2-40B4-BE49-F238E27FC236}">
              <a16:creationId xmlns:a16="http://schemas.microsoft.com/office/drawing/2014/main" id="{136AE5A2-DDDF-4B88-8D7F-4A5AD7BC58D4}"/>
            </a:ext>
          </a:extLst>
        </xdr:cNvPr>
        <xdr:cNvSpPr/>
      </xdr:nvSpPr>
      <xdr:spPr>
        <a:xfrm>
          <a:off x="3478798" y="266582"/>
          <a:ext cx="65295" cy="70885"/>
        </a:xfrm>
        <a:prstGeom prst="ellipse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455882</xdr:colOff>
      <xdr:row>1</xdr:row>
      <xdr:rowOff>130291</xdr:rowOff>
    </xdr:from>
    <xdr:to>
      <xdr:col>3</xdr:col>
      <xdr:colOff>1058139</xdr:colOff>
      <xdr:row>1</xdr:row>
      <xdr:rowOff>285700</xdr:rowOff>
    </xdr:to>
    <xdr:sp macro="[0]!Agendado" textlink="">
      <xdr:nvSpPr>
        <xdr:cNvPr id="32" name="CaixaDeTexto 31">
          <a:extLst>
            <a:ext uri="{FF2B5EF4-FFF2-40B4-BE49-F238E27FC236}">
              <a16:creationId xmlns:a16="http://schemas.microsoft.com/office/drawing/2014/main" id="{651A91A3-4C22-403E-B2F7-8DE94ECD3617}"/>
            </a:ext>
          </a:extLst>
        </xdr:cNvPr>
        <xdr:cNvSpPr txBox="1"/>
      </xdr:nvSpPr>
      <xdr:spPr>
        <a:xfrm>
          <a:off x="3583257" y="214958"/>
          <a:ext cx="602257" cy="1554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pt-BR" sz="1000" b="1"/>
            <a:t>Agendado</a:t>
          </a:r>
        </a:p>
      </xdr:txBody>
    </xdr:sp>
    <xdr:clientData/>
  </xdr:twoCellAnchor>
  <xdr:twoCellAnchor>
    <xdr:from>
      <xdr:col>3</xdr:col>
      <xdr:colOff>358964</xdr:colOff>
      <xdr:row>1</xdr:row>
      <xdr:rowOff>385810</xdr:rowOff>
    </xdr:from>
    <xdr:to>
      <xdr:col>3</xdr:col>
      <xdr:colOff>426243</xdr:colOff>
      <xdr:row>2</xdr:row>
      <xdr:rowOff>10662</xdr:rowOff>
    </xdr:to>
    <xdr:sp macro="[0]!Pendente" textlink="">
      <xdr:nvSpPr>
        <xdr:cNvPr id="31" name="Elipse 30">
          <a:extLst>
            <a:ext uri="{FF2B5EF4-FFF2-40B4-BE49-F238E27FC236}">
              <a16:creationId xmlns:a16="http://schemas.microsoft.com/office/drawing/2014/main" id="{79DCC1D2-8BA4-4AD0-B297-34604652E64A}"/>
            </a:ext>
          </a:extLst>
        </xdr:cNvPr>
        <xdr:cNvSpPr/>
      </xdr:nvSpPr>
      <xdr:spPr>
        <a:xfrm>
          <a:off x="3479468" y="471109"/>
          <a:ext cx="67279" cy="72669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465407</xdr:colOff>
      <xdr:row>1</xdr:row>
      <xdr:rowOff>339755</xdr:rowOff>
    </xdr:from>
    <xdr:to>
      <xdr:col>3</xdr:col>
      <xdr:colOff>1034676</xdr:colOff>
      <xdr:row>2</xdr:row>
      <xdr:rowOff>52300</xdr:rowOff>
    </xdr:to>
    <xdr:sp macro="[0]!Pendente" textlink="">
      <xdr:nvSpPr>
        <xdr:cNvPr id="33" name="CaixaDeTexto 32">
          <a:extLst>
            <a:ext uri="{FF2B5EF4-FFF2-40B4-BE49-F238E27FC236}">
              <a16:creationId xmlns:a16="http://schemas.microsoft.com/office/drawing/2014/main" id="{BA4A48C2-A924-4439-8983-733DCC7B1CE6}"/>
            </a:ext>
          </a:extLst>
        </xdr:cNvPr>
        <xdr:cNvSpPr txBox="1"/>
      </xdr:nvSpPr>
      <xdr:spPr>
        <a:xfrm>
          <a:off x="3589607" y="425480"/>
          <a:ext cx="569269" cy="1602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pt-BR" sz="1000" b="1"/>
            <a:t>Pendente</a:t>
          </a:r>
        </a:p>
      </xdr:txBody>
    </xdr:sp>
    <xdr:clientData/>
  </xdr:twoCellAnchor>
  <xdr:twoCellAnchor>
    <xdr:from>
      <xdr:col>3</xdr:col>
      <xdr:colOff>1192893</xdr:colOff>
      <xdr:row>1</xdr:row>
      <xdr:rowOff>125298</xdr:rowOff>
    </xdr:from>
    <xdr:to>
      <xdr:col>3</xdr:col>
      <xdr:colOff>1376589</xdr:colOff>
      <xdr:row>1</xdr:row>
      <xdr:rowOff>319200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DD631225-58AE-4A9A-ABA5-00963A64CBD5}"/>
            </a:ext>
          </a:extLst>
        </xdr:cNvPr>
        <xdr:cNvGrpSpPr/>
      </xdr:nvGrpSpPr>
      <xdr:grpSpPr>
        <a:xfrm>
          <a:off x="4317093" y="211023"/>
          <a:ext cx="183696" cy="193902"/>
          <a:chOff x="4595812" y="656545"/>
          <a:chExt cx="183696" cy="193902"/>
        </a:xfrm>
      </xdr:grpSpPr>
      <xdr:pic macro="[0]!InsereLinha">
        <xdr:nvPicPr>
          <xdr:cNvPr id="36" name="Gráfico 35" descr="Adicionar">
            <a:extLst>
              <a:ext uri="{FF2B5EF4-FFF2-40B4-BE49-F238E27FC236}">
                <a16:creationId xmlns:a16="http://schemas.microsoft.com/office/drawing/2014/main" id="{45665E69-2629-441B-B84B-4C8E61B58E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7518" y="690510"/>
            <a:ext cx="50376" cy="51464"/>
          </a:xfrm>
          <a:prstGeom prst="rect">
            <a:avLst/>
          </a:prstGeom>
        </xdr:spPr>
      </xdr:pic>
      <xdr:cxnSp macro="[0]!InsereLinha">
        <xdr:nvCxnSpPr>
          <xdr:cNvPr id="6" name="Conector reto 5">
            <a:extLst>
              <a:ext uri="{FF2B5EF4-FFF2-40B4-BE49-F238E27FC236}">
                <a16:creationId xmlns:a16="http://schemas.microsoft.com/office/drawing/2014/main" id="{C907EBB5-B3C4-4C2D-B191-36A748AAEAF8}"/>
              </a:ext>
            </a:extLst>
          </xdr:cNvPr>
          <xdr:cNvCxnSpPr/>
        </xdr:nvCxnSpPr>
        <xdr:spPr>
          <a:xfrm>
            <a:off x="4647085" y="756185"/>
            <a:ext cx="108611" cy="0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[0]!InsereLinha">
        <xdr:nvCxnSpPr>
          <xdr:cNvPr id="38" name="Conector reto 37">
            <a:extLst>
              <a:ext uri="{FF2B5EF4-FFF2-40B4-BE49-F238E27FC236}">
                <a16:creationId xmlns:a16="http://schemas.microsoft.com/office/drawing/2014/main" id="{68DD841E-A398-47DC-96CF-22C18E8D1DE5}"/>
              </a:ext>
            </a:extLst>
          </xdr:cNvPr>
          <xdr:cNvCxnSpPr/>
        </xdr:nvCxnSpPr>
        <xdr:spPr>
          <a:xfrm>
            <a:off x="4617969" y="789215"/>
            <a:ext cx="108611" cy="0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[0]!InsereLinha" textlink="">
        <xdr:nvSpPr>
          <xdr:cNvPr id="7" name="Elipse 6">
            <a:extLst>
              <a:ext uri="{FF2B5EF4-FFF2-40B4-BE49-F238E27FC236}">
                <a16:creationId xmlns:a16="http://schemas.microsoft.com/office/drawing/2014/main" id="{7377EA0C-6525-4F35-ABC9-1E7B0DB00955}"/>
              </a:ext>
            </a:extLst>
          </xdr:cNvPr>
          <xdr:cNvSpPr/>
        </xdr:nvSpPr>
        <xdr:spPr>
          <a:xfrm>
            <a:off x="4595812" y="656545"/>
            <a:ext cx="183696" cy="193902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171450</xdr:rowOff>
    </xdr:from>
    <xdr:to>
      <xdr:col>7</xdr:col>
      <xdr:colOff>314325</xdr:colOff>
      <xdr:row>19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ADF5D0-A464-49EA-9F5C-C9EF6D3F42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142874</xdr:colOff>
      <xdr:row>22</xdr:row>
      <xdr:rowOff>180975</xdr:rowOff>
    </xdr:from>
    <xdr:to>
      <xdr:col>14</xdr:col>
      <xdr:colOff>123823</xdr:colOff>
      <xdr:row>36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21592C1-3E1E-468C-8C9E-E37BF2AE1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247650</xdr:colOff>
      <xdr:row>40</xdr:row>
      <xdr:rowOff>157162</xdr:rowOff>
    </xdr:from>
    <xdr:to>
      <xdr:col>12</xdr:col>
      <xdr:colOff>495300</xdr:colOff>
      <xdr:row>54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6900ABD-27EC-4B0B-A1E8-F3726515C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142874</xdr:colOff>
      <xdr:row>58</xdr:row>
      <xdr:rowOff>85725</xdr:rowOff>
    </xdr:from>
    <xdr:to>
      <xdr:col>10</xdr:col>
      <xdr:colOff>85725</xdr:colOff>
      <xdr:row>71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C9B1A599-58F1-4D55-9E27-4C5A4A55C1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09949" y="11134725"/>
              <a:ext cx="5953126" cy="251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 Costa Ribeiro" id="{F537C9AA-6C63-43D4-8916-9021AD025A64}" userId="S::daniel.ribeiro@original.com.br::d5d8e0cb-ccab-44fe-a0d9-d682d6ad1e96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F54312A-F65F-4CFE-85A7-A9CC72984FC8}" name="Tabela9" displayName="Tabela9" ref="C20:Q26" headerRowCount="0" totalsRowShown="0" headerRowDxfId="287" dataDxfId="286" dataCellStyle="Moeda">
  <tableColumns count="15">
    <tableColumn id="1" xr3:uid="{6D1D433F-C6E3-4190-B7E4-34311CE1E6ED}" name="1" headerRowDxfId="285" dataDxfId="284"/>
    <tableColumn id="2" xr3:uid="{E0FA8E3B-3A02-4C3C-AFC5-6E8C14A302BA}" name="2" headerRowDxfId="283" dataDxfId="282"/>
    <tableColumn id="3" xr3:uid="{C7103A4D-B0F2-491C-A0CE-5454A340F909}" name="3" headerRowDxfId="281" dataDxfId="280" dataCellStyle="Moeda"/>
    <tableColumn id="4" xr3:uid="{8F6CD5F7-252D-41E2-9144-CAC302AABAF2}" name="4" headerRowDxfId="279" dataDxfId="278" dataCellStyle="Moeda"/>
    <tableColumn id="5" xr3:uid="{9AEFC506-9042-4B42-B25C-A6AF688A575A}" name="5" headerRowDxfId="277" dataDxfId="276" dataCellStyle="Moeda"/>
    <tableColumn id="6" xr3:uid="{134B30D9-B3D5-4DD1-9935-B26429AD88F6}" name="6" headerRowDxfId="275" dataDxfId="274" dataCellStyle="Moeda"/>
    <tableColumn id="7" xr3:uid="{9C94C806-D8AA-4CEC-9116-95CA905FCBF1}" name="7" headerRowDxfId="273" dataDxfId="272" dataCellStyle="Moeda"/>
    <tableColumn id="8" xr3:uid="{F1DB773D-7E6E-40A8-BC8F-36FD63BB425E}" name="8" headerRowDxfId="271" dataDxfId="270" dataCellStyle="Moeda"/>
    <tableColumn id="9" xr3:uid="{4AE940DF-F1F8-432C-8A7A-D8A0CA32B540}" name="9" headerRowDxfId="269" dataDxfId="268" dataCellStyle="Moeda"/>
    <tableColumn id="10" xr3:uid="{3B309665-1A47-4254-B47D-C279A140D2AD}" name="0" headerRowDxfId="267" dataDxfId="266" dataCellStyle="Moeda"/>
    <tableColumn id="11" xr3:uid="{0041D9D9-6A56-4DC7-8FD5-2708657CFDC5}" name="12" headerRowDxfId="265" dataDxfId="264" dataCellStyle="Moeda"/>
    <tableColumn id="12" xr3:uid="{C020431E-C630-44E4-89B4-7AC1C76260BC}" name="23" headerRowDxfId="263" dataDxfId="262" dataCellStyle="Moeda"/>
    <tableColumn id="13" xr3:uid="{5CA189C6-5673-4B14-9659-1A6920ED7073}" name="34" headerRowDxfId="261" dataDxfId="260" dataCellStyle="Moeda"/>
    <tableColumn id="14" xr3:uid="{AD570B23-2308-4996-A2F5-AFAA113B85D6}" name="45" headerRowDxfId="259" dataDxfId="258" dataCellStyle="Moeda"/>
    <tableColumn id="15" xr3:uid="{188B5B32-8773-4859-BFB9-9D5D16FCE214}" name="56" headerRowDxfId="257" dataDxfId="256">
      <calculatedColumnFormula>SUM(Tabela9[[#This Row],[3]:[45]])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649931F-409D-43D9-AE46-2729C6582946}" name="Tabela10" displayName="Tabela10" ref="C41:Q57" headerRowCount="0" totalsRowShown="0" headerRowDxfId="255" dataDxfId="254">
  <tableColumns count="15">
    <tableColumn id="1" xr3:uid="{18071E3E-55C8-48DF-AB76-9345A0B0F7B0}" name="w" headerRowDxfId="253" dataDxfId="252"/>
    <tableColumn id="2" xr3:uid="{62B6551A-52DE-4B5C-A09C-512FA31B64AF}" name="e" headerRowDxfId="251" dataDxfId="250"/>
    <tableColumn id="3" xr3:uid="{FEEBAECA-2B17-46C8-9218-B68E369364B0}" name="r" headerRowDxfId="249" dataDxfId="248"/>
    <tableColumn id="4" xr3:uid="{3E6ABA45-46B3-4750-AE95-F58BBDD16358}" name="t" headerRowDxfId="247" dataDxfId="246"/>
    <tableColumn id="5" xr3:uid="{ED6AB62F-7AF0-4F41-844E-ABBE412CF863}" name="y" headerRowDxfId="245" dataDxfId="244"/>
    <tableColumn id="6" xr3:uid="{3020B0D6-E12C-4F53-9C2E-6EDE2E52B0A5}" name="u" headerRowDxfId="243" dataDxfId="242"/>
    <tableColumn id="7" xr3:uid="{052AC452-08F5-4148-A211-14E419871D52}" name="i" headerRowDxfId="241" dataDxfId="240"/>
    <tableColumn id="8" xr3:uid="{DD466B68-80EA-456B-91C8-F9CB4434081D}" name="o" headerRowDxfId="239" dataDxfId="238"/>
    <tableColumn id="9" xr3:uid="{B1C5BB8A-BF46-4D95-B703-E466B43E5857}" name="p" headerRowDxfId="237" dataDxfId="236"/>
    <tableColumn id="10" xr3:uid="{FB6E991D-A9EB-464A-99ED-D9BEB56DB5C4}" name="z" headerRowDxfId="235" dataDxfId="234"/>
    <tableColumn id="11" xr3:uid="{FB8145E0-2294-412B-9B6C-2E8FB25E3DF0}" name="x" headerRowDxfId="233" dataDxfId="232"/>
    <tableColumn id="12" xr3:uid="{C5E22D1F-09D3-4F12-92AE-F25392898746}" name="c" headerRowDxfId="231" dataDxfId="230"/>
    <tableColumn id="13" xr3:uid="{FABB1483-C930-46F9-A8E9-746F785859D4}" name="v" headerRowDxfId="229" dataDxfId="228"/>
    <tableColumn id="14" xr3:uid="{FCD3C37F-1AEE-4E3D-BE48-106DAA679AC0}" name="b" headerRowDxfId="227" dataDxfId="226"/>
    <tableColumn id="15" xr3:uid="{7BEFA9D4-E279-476C-86B1-BF217ECC4FEA}" name="n" headerRowDxfId="225" dataDxfId="224">
      <calculatedColumnFormula>SUM(E41:P41)</calculatedColumn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B1D70D-4081-46AF-83CC-0682BDD9C1F7}" name="Tabela11" displayName="Tabela11" ref="C63:Q78" headerRowCount="0" totalsRowShown="0" headerRowDxfId="223" dataDxfId="222" dataCellStyle="Moeda">
  <tableColumns count="15">
    <tableColumn id="1" xr3:uid="{9644A87F-DC9D-4329-A432-098B1E1D01A2}" name="w" headerRowDxfId="221" dataDxfId="220"/>
    <tableColumn id="2" xr3:uid="{037B7B38-AF40-4BAF-BE4A-3C7FD5BD48CC}" name="e" headerRowDxfId="219" dataDxfId="218"/>
    <tableColumn id="3" xr3:uid="{554E0690-3E67-463A-9C26-9E81B671F001}" name="r" headerRowDxfId="217" dataDxfId="216" dataCellStyle="Moeda"/>
    <tableColumn id="4" xr3:uid="{B00E010B-4792-4159-8897-6A0C317BC4E3}" name="t" headerRowDxfId="215" dataDxfId="214" dataCellStyle="Moeda"/>
    <tableColumn id="5" xr3:uid="{81A11481-5F67-4F19-9E70-A51356E71DD9}" name="y" headerRowDxfId="213" dataDxfId="212" dataCellStyle="Moeda"/>
    <tableColumn id="6" xr3:uid="{82FC8272-A814-4320-8D36-33484BF8D079}" name="u" headerRowDxfId="211" dataDxfId="210" dataCellStyle="Moeda"/>
    <tableColumn id="7" xr3:uid="{E6CDB0D4-E532-468D-A637-038AF18EA2CC}" name="i" headerRowDxfId="209" dataDxfId="208" dataCellStyle="Moeda"/>
    <tableColumn id="8" xr3:uid="{56C26CF8-435A-40C2-8AEA-1537BEC178D3}" name="o" headerRowDxfId="207" dataDxfId="206" dataCellStyle="Moeda"/>
    <tableColumn id="9" xr3:uid="{50A30CB2-9F2F-4AED-98D0-3E67FFABD9A3}" name="p" headerRowDxfId="205" dataDxfId="204" dataCellStyle="Moeda"/>
    <tableColumn id="10" xr3:uid="{4B9019C9-3709-4673-8864-04A8AFBE8288}" name="z" headerRowDxfId="203" dataDxfId="202" dataCellStyle="Moeda"/>
    <tableColumn id="11" xr3:uid="{8C962926-49A9-4444-98A2-88AE31960B59}" name="x" headerRowDxfId="201" dataDxfId="200" dataCellStyle="Moeda"/>
    <tableColumn id="12" xr3:uid="{20E57495-DD38-4315-AE12-89B931365A72}" name="c" headerRowDxfId="199" dataDxfId="198" dataCellStyle="Moeda"/>
    <tableColumn id="13" xr3:uid="{4C4F11FC-9D20-449B-8533-322D52C56C76}" name="v" headerRowDxfId="197" dataDxfId="196" dataCellStyle="Moeda"/>
    <tableColumn id="14" xr3:uid="{D9B57CA1-A37D-4E05-90DB-A6F7C8F7151D}" name="b" headerRowDxfId="195" dataDxfId="194" dataCellStyle="Moeda"/>
    <tableColumn id="15" xr3:uid="{164A4DBD-77A3-43E6-8F0E-3DD565BA0231}" name="n" headerRowDxfId="193" dataDxfId="192">
      <calculatedColumnFormula>SUM(E63:P63)</calculatedColumnFormula>
    </tableColumn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00CC10-9781-430D-8F8D-0ABF33D65617}" name="Tabela12" displayName="Tabela12" ref="C110:Q115" headerRowCount="0" totalsRowShown="0" headerRowDxfId="191" dataDxfId="190">
  <tableColumns count="15">
    <tableColumn id="1" xr3:uid="{41702938-F7B1-4E26-B915-4E3AADE58C97}" name="w" headerRowDxfId="189" dataDxfId="188"/>
    <tableColumn id="2" xr3:uid="{1D20B6E0-1E5E-4862-B02E-1C574A9A5195}" name="e" headerRowDxfId="187" dataDxfId="186"/>
    <tableColumn id="3" xr3:uid="{90E528D9-C565-4694-8D77-A66223F250F7}" name="r" headerRowDxfId="185" dataDxfId="184"/>
    <tableColumn id="4" xr3:uid="{BBE0B4AC-2D9E-46D3-BDDC-53B4CCB1A133}" name="t" headerRowDxfId="183" dataDxfId="182"/>
    <tableColumn id="5" xr3:uid="{627B260B-DE51-494B-8D08-8D327E1C48C3}" name="y" headerRowDxfId="181" dataDxfId="180"/>
    <tableColumn id="6" xr3:uid="{33540269-642F-4BA6-9FC3-F926DC785533}" name="u" headerRowDxfId="179" dataDxfId="178"/>
    <tableColumn id="7" xr3:uid="{EE0AD10A-4D51-438D-8D81-1214A7D7F680}" name="i" headerRowDxfId="177" dataDxfId="176"/>
    <tableColumn id="8" xr3:uid="{F3846A7F-64C3-4F74-984D-2AFCFE47CF1D}" name="o" headerRowDxfId="175" dataDxfId="174"/>
    <tableColumn id="9" xr3:uid="{076D2ED3-880C-474A-BF99-6B97038E3D4B}" name="p" headerRowDxfId="173" dataDxfId="172"/>
    <tableColumn id="10" xr3:uid="{EC2F23E7-93CD-4BCF-81E6-A8A4A6072073}" name="z" headerRowDxfId="171" dataDxfId="170"/>
    <tableColumn id="11" xr3:uid="{70A2F48E-8E8A-4EDD-B96F-331ED886A552}" name="x" headerRowDxfId="169" dataDxfId="168"/>
    <tableColumn id="12" xr3:uid="{837E0E9A-F840-4DDF-A6B5-7913AB322DED}" name="c" headerRowDxfId="167" dataDxfId="166"/>
    <tableColumn id="13" xr3:uid="{6D31FE06-79D3-4576-8AA0-B8D5E191996A}" name="v" headerRowDxfId="165" dataDxfId="164"/>
    <tableColumn id="14" xr3:uid="{5E6221EE-3568-4FA8-AC7C-3047B962F835}" name="b" headerRowDxfId="163" dataDxfId="162"/>
    <tableColumn id="15" xr3:uid="{0D315009-1683-4AD2-8978-EB61A592EBA2}" name="n" headerRowDxfId="161" dataDxfId="160">
      <calculatedColumnFormula>SUM(E110:P110)</calculatedColumnFormula>
    </tableColumn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914C789-E470-4F6B-820E-E8382218C035}" name="Tabela13" displayName="Tabela13" ref="C84:Q93" headerRowCount="0" totalsRowShown="0" headerRowDxfId="159" dataDxfId="158" dataCellStyle="Moeda">
  <tableColumns count="15">
    <tableColumn id="1" xr3:uid="{B63E564D-46D1-44D1-B440-F2D30ED0C9F7}" name="Coluna1" headerRowDxfId="157" dataDxfId="156"/>
    <tableColumn id="2" xr3:uid="{767A540B-DFC6-4A9B-8F33-629CAF550F52}" name="Coluna2" headerRowDxfId="155" dataDxfId="154"/>
    <tableColumn id="3" xr3:uid="{A14DCB28-D485-42DC-8C16-7C29406C4454}" name="Coluna3" headerRowDxfId="153" dataDxfId="152" dataCellStyle="Moeda"/>
    <tableColumn id="4" xr3:uid="{003872A5-8163-4795-8CE0-2B32906260CD}" name="Coluna4" headerRowDxfId="151" dataDxfId="150" dataCellStyle="Moeda"/>
    <tableColumn id="5" xr3:uid="{5BDC1CBA-29DA-4B40-A301-0EF39D72C9D2}" name="Coluna5" headerRowDxfId="149" dataDxfId="148" dataCellStyle="Moeda"/>
    <tableColumn id="6" xr3:uid="{65FCCBDE-F1D1-49B3-AB69-AD16F44F34D5}" name="Coluna6" headerRowDxfId="147" dataDxfId="146" dataCellStyle="Moeda"/>
    <tableColumn id="7" xr3:uid="{5E7AEAB6-B3A8-451C-8FC9-F57DA6E727C8}" name="Coluna7" headerRowDxfId="145" dataDxfId="144" dataCellStyle="Moeda"/>
    <tableColumn id="8" xr3:uid="{404B6E98-6B63-4D27-9BD4-75F0344652FF}" name="Coluna8" headerRowDxfId="143" dataDxfId="142" dataCellStyle="Moeda"/>
    <tableColumn id="9" xr3:uid="{859B12BE-505A-478E-86BD-84526008308D}" name="Coluna9" headerRowDxfId="141" dataDxfId="140" dataCellStyle="Moeda"/>
    <tableColumn id="10" xr3:uid="{25B7E531-74E6-418C-B4B3-AE5D3CC678A4}" name="Coluna10" headerRowDxfId="139" dataDxfId="138" dataCellStyle="Moeda"/>
    <tableColumn id="11" xr3:uid="{03C00840-66FE-492A-A2FB-FE4F411F7BE2}" name="Coluna11" headerRowDxfId="137" dataDxfId="136" dataCellStyle="Moeda"/>
    <tableColumn id="12" xr3:uid="{B5A4B0B1-FE81-4828-96B3-25DA7849768D}" name="Coluna12" headerRowDxfId="135" dataDxfId="134" dataCellStyle="Moeda"/>
    <tableColumn id="13" xr3:uid="{D02D381A-3116-4505-9025-997F96656907}" name="Coluna13" headerRowDxfId="133" dataDxfId="132" dataCellStyle="Moeda"/>
    <tableColumn id="14" xr3:uid="{FECD9564-9515-40A1-B580-FDABADADEC02}" name="Coluna14" headerRowDxfId="131" dataDxfId="130" dataCellStyle="Moeda"/>
    <tableColumn id="15" xr3:uid="{E4E0D1A8-176B-4355-8DB8-F6137D7F77CA}" name="Coluna15" headerRowDxfId="129" dataDxfId="128">
      <calculatedColumnFormula>SUM(E84:P84)</calculatedColumnFormula>
    </tableColumn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F8B974F-5481-4B84-8941-A69C8E869763}" name="Tabela14" displayName="Tabela14" ref="C99:Q104" headerRowCount="0" totalsRowShown="0" headerRowDxfId="127" dataDxfId="126" dataCellStyle="Moeda">
  <tableColumns count="15">
    <tableColumn id="1" xr3:uid="{33BBBA8F-AE4B-4B5F-9227-1921AD82CA23}" name="Coluna1" headerRowDxfId="125" dataDxfId="124"/>
    <tableColumn id="2" xr3:uid="{1F60F867-A4DE-4A8F-AD2C-534E20C70247}" name="Coluna2" headerRowDxfId="123" dataDxfId="122"/>
    <tableColumn id="3" xr3:uid="{A344DDEA-CC6B-4D07-8AE7-EC119610B9B4}" name="Coluna3" headerRowDxfId="121" dataDxfId="120" dataCellStyle="Moeda"/>
    <tableColumn id="4" xr3:uid="{FD4FB90E-D0BE-4D15-B613-AB42CA72F78E}" name="Coluna4" headerRowDxfId="119" dataDxfId="118" dataCellStyle="Moeda"/>
    <tableColumn id="5" xr3:uid="{018A23E4-5EAB-41F9-A235-73E66B7A6A55}" name="Coluna5" headerRowDxfId="117" dataDxfId="116" dataCellStyle="Moeda"/>
    <tableColumn id="6" xr3:uid="{8468D007-3CCC-4D22-9238-8D9B7CCD2F71}" name="Coluna6" headerRowDxfId="115" dataDxfId="114" dataCellStyle="Moeda"/>
    <tableColumn id="7" xr3:uid="{B0B6F7D2-7FED-46D2-9B0A-7B21B257E9E5}" name="Coluna7" headerRowDxfId="113" dataDxfId="112" dataCellStyle="Moeda"/>
    <tableColumn id="8" xr3:uid="{70AA756D-5613-4DC6-907C-5F66D7C45AB2}" name="Coluna8" headerRowDxfId="111" dataDxfId="110" dataCellStyle="Moeda"/>
    <tableColumn id="9" xr3:uid="{809E371E-3782-469B-A4B4-8FCB4DC46137}" name="Coluna9" headerRowDxfId="109" dataDxfId="108" dataCellStyle="Moeda"/>
    <tableColumn id="10" xr3:uid="{9B46FC64-8166-4883-8C25-2AFB1490EA1C}" name="Coluna10" headerRowDxfId="107" dataDxfId="106" dataCellStyle="Moeda"/>
    <tableColumn id="11" xr3:uid="{5F5390B9-61E2-4A58-A5CD-BF2E80EF598A}" name="Coluna11" headerRowDxfId="105" dataDxfId="104" dataCellStyle="Moeda"/>
    <tableColumn id="12" xr3:uid="{82A78CC5-EF3D-4AAF-8C4C-4B0720E91D22}" name="Coluna12" headerRowDxfId="103" dataDxfId="102" dataCellStyle="Moeda"/>
    <tableColumn id="13" xr3:uid="{3154CD64-F529-41C6-99E3-2CE7689179A8}" name="Coluna13" headerRowDxfId="101" dataDxfId="100" dataCellStyle="Moeda"/>
    <tableColumn id="14" xr3:uid="{4F33F96D-B8E1-4437-B330-397788B7B043}" name="Coluna14" headerRowDxfId="99" dataDxfId="98" dataCellStyle="Moeda"/>
    <tableColumn id="15" xr3:uid="{6D21B773-6E1F-4BB9-BE8A-2CDEA4602CAE}" name="Coluna15" headerRowDxfId="97" dataDxfId="96">
      <calculatedColumnFormula>SUM(E99:P99)</calculatedColumnFormula>
    </tableColumn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D449C9D-5222-49D2-A6F1-ED5DCDBA57F0}" name="Tabela15" displayName="Tabela15" ref="C121:Q127" headerRowCount="0" totalsRowShown="0" headerRowDxfId="95" dataDxfId="94">
  <tableColumns count="15">
    <tableColumn id="1" xr3:uid="{149494A6-567F-4E0F-BF55-D92ADE236214}" name="Coluna1" headerRowDxfId="93" dataDxfId="92"/>
    <tableColumn id="2" xr3:uid="{CB2C7B7D-694B-499C-A792-62108F555EC4}" name="Coluna2" headerRowDxfId="91" dataDxfId="90"/>
    <tableColumn id="3" xr3:uid="{32073BF8-8D0D-47F6-9F8C-031917263192}" name="Coluna3" headerRowDxfId="89" dataDxfId="88"/>
    <tableColumn id="4" xr3:uid="{80C6C7C4-0EF8-45AA-8925-BDCFE162711F}" name="Coluna4" headerRowDxfId="87" dataDxfId="86"/>
    <tableColumn id="5" xr3:uid="{59EFA18A-5D52-45BF-BBAF-A3FBF6298608}" name="Coluna5" headerRowDxfId="85" dataDxfId="84"/>
    <tableColumn id="6" xr3:uid="{87147E1B-F30D-4688-85A1-1F98A5C1E4B0}" name="Coluna6" headerRowDxfId="83" dataDxfId="82"/>
    <tableColumn id="7" xr3:uid="{73419AC6-2767-4808-A336-109FE59ACC25}" name="Coluna7" headerRowDxfId="81" dataDxfId="80"/>
    <tableColumn id="8" xr3:uid="{D80EE4B9-8C57-4958-B26D-CF7618EC7207}" name="Coluna8" headerRowDxfId="79" dataDxfId="78"/>
    <tableColumn id="9" xr3:uid="{8642481D-FDEA-4F31-805A-64877C8FD778}" name="Coluna9" headerRowDxfId="77" dataDxfId="76"/>
    <tableColumn id="10" xr3:uid="{F333DDE8-AC44-4BFD-9F01-59A263EC80A2}" name="Coluna10" headerRowDxfId="75" dataDxfId="74"/>
    <tableColumn id="11" xr3:uid="{5A9E3C60-B268-402F-ABCC-EB35540F8CF2}" name="Coluna11" headerRowDxfId="73" dataDxfId="72"/>
    <tableColumn id="12" xr3:uid="{7D9481E6-C89F-492D-9DDF-CAB4D554F6FB}" name="Coluna12" headerRowDxfId="71" dataDxfId="70"/>
    <tableColumn id="13" xr3:uid="{06C48D16-CA72-42B9-98C5-024B2CF926B8}" name="Coluna13" headerRowDxfId="69" dataDxfId="68"/>
    <tableColumn id="14" xr3:uid="{698BC02F-DC8C-4538-AC43-1074669BC953}" name="Coluna14" headerRowDxfId="67" dataDxfId="66"/>
    <tableColumn id="15" xr3:uid="{7516D88B-F3E7-4795-A3EF-2BA489220598}" name="Coluna15" headerRowDxfId="65" dataDxfId="64">
      <calculatedColumnFormula>SUM(E121:P121)</calculatedColumnFormula>
    </tableColumn>
  </tableColumns>
  <tableStyleInfo name="Estilo de Tabe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C34255C-D3D3-481B-83FB-E84EA413F355}" name="Tabela16" displayName="Tabela16" ref="C32:Q35" headerRowCount="0" totalsRowShown="0" headerRowDxfId="63" dataDxfId="62" dataCellStyle="Moeda">
  <tableColumns count="15">
    <tableColumn id="1" xr3:uid="{7F4622B0-4153-492E-B5E6-56B90E09CB43}" name="Coluna1" headerRowDxfId="61" dataDxfId="60"/>
    <tableColumn id="2" xr3:uid="{6A4BA5CE-684B-4119-9ABA-6F97616942D9}" name="Coluna2" headerRowDxfId="59" dataDxfId="58"/>
    <tableColumn id="3" xr3:uid="{B894428A-FE9C-47ED-BDAC-D12E2DBD2390}" name="Coluna3" headerRowDxfId="57" dataDxfId="56" dataCellStyle="Moeda"/>
    <tableColumn id="4" xr3:uid="{303CD261-A3A5-4F84-91CB-FDBD2E1EBFAE}" name="Coluna4" headerRowDxfId="55" dataDxfId="54" dataCellStyle="Moeda"/>
    <tableColumn id="5" xr3:uid="{860524C2-B5A8-459A-B0EC-5977D35789AF}" name="Coluna5" headerRowDxfId="53" dataDxfId="52" dataCellStyle="Moeda"/>
    <tableColumn id="6" xr3:uid="{CDE5E241-8FB3-4BB0-A55D-214974553555}" name="Coluna6" headerRowDxfId="51" dataDxfId="50" dataCellStyle="Moeda"/>
    <tableColumn id="7" xr3:uid="{3A09F6A8-E17C-4393-81CE-EBCD8D63B216}" name="Coluna7" headerRowDxfId="49" dataDxfId="48" dataCellStyle="Moeda"/>
    <tableColumn id="8" xr3:uid="{80343B32-5ED5-4918-8F97-D6B86BFA343D}" name="Coluna8" headerRowDxfId="47" dataDxfId="46" dataCellStyle="Moeda"/>
    <tableColumn id="9" xr3:uid="{81C1B121-570C-4719-B0A0-204BA745FE00}" name="Coluna9" headerRowDxfId="45" dataDxfId="44" dataCellStyle="Moeda"/>
    <tableColumn id="10" xr3:uid="{83697154-461F-4CC1-B992-D389D4F58F34}" name="Coluna10" headerRowDxfId="43" dataDxfId="42" dataCellStyle="Moeda"/>
    <tableColumn id="11" xr3:uid="{05C57B86-D7D4-430F-9530-D37F7B91373A}" name="Coluna11" headerRowDxfId="41" dataDxfId="40" dataCellStyle="Moeda"/>
    <tableColumn id="12" xr3:uid="{F59F618B-EB86-4F00-B882-03B5C61CED97}" name="Coluna12" headerRowDxfId="39" dataDxfId="38" dataCellStyle="Moeda"/>
    <tableColumn id="13" xr3:uid="{BD102F50-2F40-4D31-BCEA-4A05D82EA9EE}" name="Coluna13" headerRowDxfId="37" dataDxfId="36" dataCellStyle="Moeda"/>
    <tableColumn id="14" xr3:uid="{945A7BD5-0819-4940-95A9-0D14C425EFA0}" name="Coluna14" headerRowDxfId="35" dataDxfId="34" dataCellStyle="Moeda"/>
    <tableColumn id="15" xr3:uid="{D5304AAD-4123-4014-B478-57A96017FB5B}" name="Coluna15" headerRowDxfId="33" dataDxfId="32">
      <calculatedColumnFormula>SUM(E32:P32)</calculatedColumnFormula>
    </tableColumn>
  </tableColumns>
  <tableStyleInfo name="Estilo de Tabe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4014FDF-A307-4FA1-B4FF-64AB6C6323B4}" name="Tabela17" displayName="Tabela17" ref="C133:Q137" headerRowCount="0" totalsRowShown="0" headerRowDxfId="31" dataDxfId="30" dataCellStyle="Moeda">
  <tableColumns count="15">
    <tableColumn id="1" xr3:uid="{2860BAE3-5205-49AE-AAF8-2DB51CA8EC74}" name="Coluna1" headerRowDxfId="29" dataDxfId="28"/>
    <tableColumn id="2" xr3:uid="{98FCA5FC-EDA9-4186-8B10-8B1D1FC4B703}" name="Coluna2" headerRowDxfId="27" dataDxfId="26"/>
    <tableColumn id="3" xr3:uid="{0F11CFB4-C40A-4834-B6F0-489B2BE3D085}" name="Coluna3" headerRowDxfId="25" dataDxfId="24" dataCellStyle="Moeda"/>
    <tableColumn id="4" xr3:uid="{4719D31A-C3E6-418B-A779-1E50DA6E9C8A}" name="Coluna4" headerRowDxfId="23" dataDxfId="22" dataCellStyle="Moeda"/>
    <tableColumn id="5" xr3:uid="{2D15FC3E-CAAD-4C35-BDEE-A23F6110D564}" name="Coluna5" headerRowDxfId="21" dataDxfId="20" dataCellStyle="Moeda"/>
    <tableColumn id="6" xr3:uid="{9178B5EC-6DEC-4142-83BF-213D1E462C2B}" name="Coluna6" headerRowDxfId="19" dataDxfId="18" dataCellStyle="Moeda"/>
    <tableColumn id="7" xr3:uid="{F2E4781D-0F5B-43DD-BBB7-74CA0AA71FEE}" name="Coluna7" headerRowDxfId="17" dataDxfId="16" dataCellStyle="Moeda"/>
    <tableColumn id="8" xr3:uid="{7DA9D048-C389-44BA-97E8-BBE7DBCBC594}" name="Coluna8" headerRowDxfId="15" dataDxfId="14" dataCellStyle="Moeda"/>
    <tableColumn id="9" xr3:uid="{F029C573-AE18-4AA4-A9A9-015CB4AD4EFE}" name="Coluna9" headerRowDxfId="13" dataDxfId="12" dataCellStyle="Moeda"/>
    <tableColumn id="10" xr3:uid="{F7C0B4F5-9858-4D54-A3D8-AE2192657731}" name="Coluna10" headerRowDxfId="11" dataDxfId="10" dataCellStyle="Moeda"/>
    <tableColumn id="11" xr3:uid="{BB0CFB10-185C-46A7-A5B0-55871765BD1B}" name="Coluna11" headerRowDxfId="9" dataDxfId="8" dataCellStyle="Moeda"/>
    <tableColumn id="12" xr3:uid="{C020EB5D-2187-4B57-AE16-C16C5CCF4E12}" name="Coluna12" headerRowDxfId="7" dataDxfId="6" dataCellStyle="Moeda"/>
    <tableColumn id="13" xr3:uid="{0ED468B9-6AFE-4ECD-ABDF-537E806D1E8C}" name="Coluna13" headerRowDxfId="5" dataDxfId="4" dataCellStyle="Moeda"/>
    <tableColumn id="14" xr3:uid="{83F1C1A6-59DD-4421-875E-A0C250BCA413}" name="Coluna14" headerRowDxfId="3" dataDxfId="2" dataCellStyle="Moeda"/>
    <tableColumn id="15" xr3:uid="{A13281F7-F805-4BA0-A7B2-11DD9FA8DEB5}" name="Coluna15" headerRowDxfId="1" dataDxfId="0">
      <calculatedColumnFormula>SUM(E133:P133)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E431-B333-4C8E-A66F-DF6A00A7257C}">
  <sheetPr codeName="Planilha1"/>
  <dimension ref="B2:D11"/>
  <sheetViews>
    <sheetView showGridLines="0" workbookViewId="0">
      <selection activeCell="E4" sqref="E4"/>
    </sheetView>
  </sheetViews>
  <sheetFormatPr defaultRowHeight="15" x14ac:dyDescent="0.25"/>
  <cols>
    <col min="1" max="1" width="5" customWidth="1"/>
    <col min="2" max="2" width="25.140625" customWidth="1"/>
    <col min="3" max="3" width="5" customWidth="1"/>
    <col min="4" max="4" width="25.140625" customWidth="1"/>
  </cols>
  <sheetData>
    <row r="2" spans="2:4" x14ac:dyDescent="0.25">
      <c r="B2" s="2" t="s">
        <v>20</v>
      </c>
      <c r="D2" s="2" t="s">
        <v>21</v>
      </c>
    </row>
    <row r="3" spans="2:4" x14ac:dyDescent="0.25">
      <c r="B3" s="1" t="s">
        <v>0</v>
      </c>
      <c r="D3" s="1" t="s">
        <v>22</v>
      </c>
    </row>
    <row r="4" spans="2:4" x14ac:dyDescent="0.25">
      <c r="B4" s="1" t="s">
        <v>1</v>
      </c>
      <c r="D4" s="1" t="s">
        <v>0</v>
      </c>
    </row>
    <row r="5" spans="2:4" x14ac:dyDescent="0.25">
      <c r="B5" s="1" t="s">
        <v>16</v>
      </c>
      <c r="D5" s="1" t="s">
        <v>1</v>
      </c>
    </row>
    <row r="6" spans="2:4" x14ac:dyDescent="0.25">
      <c r="B6" s="1" t="s">
        <v>17</v>
      </c>
      <c r="D6" s="1" t="s">
        <v>16</v>
      </c>
    </row>
    <row r="7" spans="2:4" x14ac:dyDescent="0.25">
      <c r="B7" s="1" t="s">
        <v>18</v>
      </c>
      <c r="D7" s="1" t="s">
        <v>17</v>
      </c>
    </row>
    <row r="8" spans="2:4" x14ac:dyDescent="0.25">
      <c r="B8" s="1" t="s">
        <v>19</v>
      </c>
      <c r="D8" s="1" t="s">
        <v>18</v>
      </c>
    </row>
    <row r="9" spans="2:4" x14ac:dyDescent="0.25">
      <c r="B9" s="1" t="s">
        <v>24</v>
      </c>
      <c r="D9" s="1" t="s">
        <v>19</v>
      </c>
    </row>
    <row r="10" spans="2:4" x14ac:dyDescent="0.25">
      <c r="B10" s="1" t="s">
        <v>27</v>
      </c>
      <c r="D10" s="1" t="s">
        <v>24</v>
      </c>
    </row>
    <row r="11" spans="2:4" x14ac:dyDescent="0.25">
      <c r="D11" s="1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FA8C4-A8EC-48AC-A687-703A42DB9DA7}">
  <sheetPr codeName="Planilha2"/>
  <dimension ref="A1:Q141"/>
  <sheetViews>
    <sheetView showGridLines="0"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30" sqref="E30"/>
    </sheetView>
  </sheetViews>
  <sheetFormatPr defaultRowHeight="12.75" x14ac:dyDescent="0.2"/>
  <cols>
    <col min="1" max="1" width="2.140625" style="22" customWidth="1"/>
    <col min="2" max="2" width="1.5703125" style="22" customWidth="1"/>
    <col min="3" max="3" width="43.140625" style="31" customWidth="1"/>
    <col min="4" max="4" width="21.85546875" style="24" bestFit="1" customWidth="1"/>
    <col min="5" max="16" width="14" style="24" customWidth="1"/>
    <col min="17" max="17" width="23" style="25" customWidth="1"/>
    <col min="18" max="16384" width="9.140625" style="22"/>
  </cols>
  <sheetData>
    <row r="1" spans="1:17" s="19" customFormat="1" ht="6.75" customHeight="1" x14ac:dyDescent="0.2">
      <c r="A1" s="105" t="s">
        <v>23</v>
      </c>
      <c r="B1" s="105"/>
      <c r="C1" s="105"/>
      <c r="D1" s="105"/>
      <c r="E1" s="89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72"/>
    </row>
    <row r="2" spans="1:17" s="21" customFormat="1" ht="35.25" customHeight="1" x14ac:dyDescent="0.25">
      <c r="A2" s="105"/>
      <c r="B2" s="105"/>
      <c r="C2" s="105"/>
      <c r="D2" s="105"/>
      <c r="E2" s="73" t="s">
        <v>3</v>
      </c>
      <c r="F2" s="20" t="s">
        <v>4</v>
      </c>
      <c r="G2" s="20" t="s">
        <v>5</v>
      </c>
      <c r="H2" s="20" t="s">
        <v>6</v>
      </c>
      <c r="I2" s="20" t="s">
        <v>7</v>
      </c>
      <c r="J2" s="20" t="s">
        <v>8</v>
      </c>
      <c r="K2" s="20" t="s">
        <v>9</v>
      </c>
      <c r="L2" s="20" t="s">
        <v>10</v>
      </c>
      <c r="M2" s="20" t="s">
        <v>11</v>
      </c>
      <c r="N2" s="20" t="s">
        <v>12</v>
      </c>
      <c r="O2" s="20" t="s">
        <v>13</v>
      </c>
      <c r="P2" s="20" t="s">
        <v>14</v>
      </c>
      <c r="Q2" s="73" t="s">
        <v>28</v>
      </c>
    </row>
    <row r="3" spans="1:17" s="19" customFormat="1" ht="5.25" customHeight="1" x14ac:dyDescent="0.2">
      <c r="A3" s="105"/>
      <c r="B3" s="105"/>
      <c r="C3" s="105"/>
      <c r="D3" s="105"/>
      <c r="E3" s="89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72"/>
    </row>
    <row r="6" spans="1:17" x14ac:dyDescent="0.2">
      <c r="B6" s="58"/>
      <c r="C6" s="108" t="s">
        <v>25</v>
      </c>
      <c r="D6" s="109"/>
      <c r="E6" s="90" t="str">
        <f t="shared" ref="E6:P6" si="0">IF(SUM(E39,E61,E108,E82,E97,E119,E30,E131)&lt;&gt;1,"Total % Inválido","")</f>
        <v/>
      </c>
      <c r="F6" s="59" t="str">
        <f t="shared" si="0"/>
        <v/>
      </c>
      <c r="G6" s="59" t="str">
        <f t="shared" si="0"/>
        <v/>
      </c>
      <c r="H6" s="59" t="str">
        <f t="shared" si="0"/>
        <v/>
      </c>
      <c r="I6" s="59" t="str">
        <f t="shared" si="0"/>
        <v/>
      </c>
      <c r="J6" s="59" t="str">
        <f t="shared" si="0"/>
        <v/>
      </c>
      <c r="K6" s="59" t="str">
        <f t="shared" si="0"/>
        <v/>
      </c>
      <c r="L6" s="59" t="str">
        <f t="shared" si="0"/>
        <v/>
      </c>
      <c r="M6" s="59" t="str">
        <f t="shared" si="0"/>
        <v/>
      </c>
      <c r="N6" s="59" t="str">
        <f t="shared" si="0"/>
        <v/>
      </c>
      <c r="O6" s="59" t="str">
        <f t="shared" si="0"/>
        <v/>
      </c>
      <c r="P6" s="59" t="str">
        <f t="shared" si="0"/>
        <v/>
      </c>
      <c r="Q6" s="74"/>
    </row>
    <row r="7" spans="1:17" ht="12" customHeight="1" x14ac:dyDescent="0.2">
      <c r="B7" s="58"/>
      <c r="C7" s="108" t="s">
        <v>2</v>
      </c>
      <c r="D7" s="109"/>
      <c r="E7" s="90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74"/>
    </row>
    <row r="8" spans="1:17" s="44" customFormat="1" ht="6" customHeight="1" x14ac:dyDescent="0.25">
      <c r="B8" s="60"/>
      <c r="C8" s="45"/>
      <c r="D8" s="42"/>
      <c r="E8" s="91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75"/>
    </row>
    <row r="9" spans="1:17" s="44" customFormat="1" ht="25.5" customHeight="1" x14ac:dyDescent="0.25">
      <c r="B9" s="60"/>
      <c r="C9" s="64" t="s">
        <v>32</v>
      </c>
      <c r="D9" s="65"/>
      <c r="E9" s="92">
        <f>E27</f>
        <v>0</v>
      </c>
      <c r="F9" s="55">
        <f t="shared" ref="F9:P9" si="1">F27</f>
        <v>0</v>
      </c>
      <c r="G9" s="55">
        <f t="shared" si="1"/>
        <v>0</v>
      </c>
      <c r="H9" s="55">
        <f t="shared" si="1"/>
        <v>0</v>
      </c>
      <c r="I9" s="55">
        <f t="shared" si="1"/>
        <v>0</v>
      </c>
      <c r="J9" s="55">
        <f t="shared" si="1"/>
        <v>0</v>
      </c>
      <c r="K9" s="55">
        <f t="shared" si="1"/>
        <v>0</v>
      </c>
      <c r="L9" s="55">
        <f t="shared" si="1"/>
        <v>0</v>
      </c>
      <c r="M9" s="55">
        <f t="shared" si="1"/>
        <v>0</v>
      </c>
      <c r="N9" s="55">
        <f t="shared" si="1"/>
        <v>0</v>
      </c>
      <c r="O9" s="55">
        <f t="shared" si="1"/>
        <v>0</v>
      </c>
      <c r="P9" s="55">
        <f t="shared" si="1"/>
        <v>0</v>
      </c>
      <c r="Q9" s="76">
        <f>SUM(E9:P9)</f>
        <v>0</v>
      </c>
    </row>
    <row r="10" spans="1:17" s="44" customFormat="1" ht="25.5" customHeight="1" x14ac:dyDescent="0.25">
      <c r="B10" s="60"/>
      <c r="C10" s="66" t="s">
        <v>33</v>
      </c>
      <c r="D10" s="67"/>
      <c r="E10" s="93">
        <f t="shared" ref="E10:P10" si="2">SUM(E58,E79,E116,E94,E105,E128,E138)</f>
        <v>0</v>
      </c>
      <c r="F10" s="56">
        <f t="shared" si="2"/>
        <v>0</v>
      </c>
      <c r="G10" s="56">
        <f t="shared" si="2"/>
        <v>0</v>
      </c>
      <c r="H10" s="56">
        <f t="shared" si="2"/>
        <v>0</v>
      </c>
      <c r="I10" s="56">
        <f t="shared" si="2"/>
        <v>0</v>
      </c>
      <c r="J10" s="56">
        <f t="shared" si="2"/>
        <v>0</v>
      </c>
      <c r="K10" s="56">
        <f t="shared" si="2"/>
        <v>0</v>
      </c>
      <c r="L10" s="56">
        <f t="shared" si="2"/>
        <v>0</v>
      </c>
      <c r="M10" s="56">
        <f t="shared" si="2"/>
        <v>0</v>
      </c>
      <c r="N10" s="56">
        <f t="shared" si="2"/>
        <v>0</v>
      </c>
      <c r="O10" s="56">
        <f t="shared" si="2"/>
        <v>0</v>
      </c>
      <c r="P10" s="56">
        <f t="shared" si="2"/>
        <v>0</v>
      </c>
      <c r="Q10" s="77">
        <f>SUM(E10:P10)</f>
        <v>0</v>
      </c>
    </row>
    <row r="11" spans="1:17" s="44" customFormat="1" ht="25.5" customHeight="1" x14ac:dyDescent="0.25">
      <c r="B11" s="60"/>
      <c r="C11" s="68" t="s">
        <v>38</v>
      </c>
      <c r="D11" s="69"/>
      <c r="E11" s="103">
        <f>E36</f>
        <v>0</v>
      </c>
      <c r="F11" s="104">
        <f t="shared" ref="F11:P11" si="3">F36</f>
        <v>0</v>
      </c>
      <c r="G11" s="104">
        <f t="shared" si="3"/>
        <v>0</v>
      </c>
      <c r="H11" s="104">
        <f t="shared" si="3"/>
        <v>0</v>
      </c>
      <c r="I11" s="104">
        <f t="shared" si="3"/>
        <v>0</v>
      </c>
      <c r="J11" s="104">
        <f t="shared" si="3"/>
        <v>0</v>
      </c>
      <c r="K11" s="104">
        <f t="shared" si="3"/>
        <v>0</v>
      </c>
      <c r="L11" s="104">
        <f t="shared" si="3"/>
        <v>0</v>
      </c>
      <c r="M11" s="104">
        <f t="shared" si="3"/>
        <v>0</v>
      </c>
      <c r="N11" s="104">
        <f t="shared" si="3"/>
        <v>0</v>
      </c>
      <c r="O11" s="104">
        <f t="shared" si="3"/>
        <v>0</v>
      </c>
      <c r="P11" s="104">
        <f t="shared" si="3"/>
        <v>0</v>
      </c>
      <c r="Q11" s="78">
        <f t="shared" ref="Q11" si="4">SUM(E11:P11)</f>
        <v>0</v>
      </c>
    </row>
    <row r="12" spans="1:17" s="44" customFormat="1" ht="25.5" customHeight="1" x14ac:dyDescent="0.25">
      <c r="B12" s="60"/>
      <c r="C12" s="70" t="s">
        <v>39</v>
      </c>
      <c r="D12" s="71"/>
      <c r="E12" s="94">
        <f>E9-E10-E11</f>
        <v>0</v>
      </c>
      <c r="F12" s="63">
        <f t="shared" ref="F12:P12" si="5">F9-F10-F11</f>
        <v>0</v>
      </c>
      <c r="G12" s="63">
        <f t="shared" si="5"/>
        <v>0</v>
      </c>
      <c r="H12" s="63">
        <f t="shared" si="5"/>
        <v>0</v>
      </c>
      <c r="I12" s="63">
        <f t="shared" si="5"/>
        <v>0</v>
      </c>
      <c r="J12" s="63">
        <f t="shared" si="5"/>
        <v>0</v>
      </c>
      <c r="K12" s="63">
        <f t="shared" si="5"/>
        <v>0</v>
      </c>
      <c r="L12" s="63">
        <f t="shared" si="5"/>
        <v>0</v>
      </c>
      <c r="M12" s="63">
        <f t="shared" si="5"/>
        <v>0</v>
      </c>
      <c r="N12" s="63">
        <f t="shared" si="5"/>
        <v>0</v>
      </c>
      <c r="O12" s="63">
        <f t="shared" si="5"/>
        <v>0</v>
      </c>
      <c r="P12" s="63">
        <f t="shared" si="5"/>
        <v>0</v>
      </c>
      <c r="Q12" s="79">
        <f t="shared" ref="Q12" si="6">SUM(E12:P12)</f>
        <v>0</v>
      </c>
    </row>
    <row r="13" spans="1:17" s="44" customFormat="1" ht="25.5" customHeight="1" x14ac:dyDescent="0.25">
      <c r="B13" s="60"/>
      <c r="C13" s="45" t="s">
        <v>26</v>
      </c>
      <c r="D13" s="42"/>
      <c r="E13" s="91">
        <v>0</v>
      </c>
      <c r="F13" s="43">
        <f t="shared" ref="F13:P13" si="7">IFERROR(F10/E10-1,0)</f>
        <v>0</v>
      </c>
      <c r="G13" s="43">
        <f t="shared" si="7"/>
        <v>0</v>
      </c>
      <c r="H13" s="43">
        <f t="shared" si="7"/>
        <v>0</v>
      </c>
      <c r="I13" s="43">
        <f t="shared" si="7"/>
        <v>0</v>
      </c>
      <c r="J13" s="43">
        <f t="shared" si="7"/>
        <v>0</v>
      </c>
      <c r="K13" s="43">
        <f t="shared" si="7"/>
        <v>0</v>
      </c>
      <c r="L13" s="43">
        <f t="shared" si="7"/>
        <v>0</v>
      </c>
      <c r="M13" s="43">
        <f t="shared" si="7"/>
        <v>0</v>
      </c>
      <c r="N13" s="43">
        <f t="shared" si="7"/>
        <v>0</v>
      </c>
      <c r="O13" s="43">
        <f t="shared" si="7"/>
        <v>0</v>
      </c>
      <c r="P13" s="43">
        <f t="shared" si="7"/>
        <v>0</v>
      </c>
      <c r="Q13" s="75">
        <f>-1+(1+F13)*(1+G13)*(1+H13)*(1+I13)*(1+J13)*(1+K13)*(1+L13)*(1+M13)*(1+N13)*(1+O13)*(1+P13)</f>
        <v>0</v>
      </c>
    </row>
    <row r="14" spans="1:17" s="44" customFormat="1" ht="6" customHeight="1" x14ac:dyDescent="0.25">
      <c r="B14" s="60"/>
      <c r="C14" s="45"/>
      <c r="D14" s="42"/>
      <c r="E14" s="91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75"/>
    </row>
    <row r="15" spans="1:17" x14ac:dyDescent="0.2">
      <c r="B15" s="58"/>
      <c r="C15" s="62" t="s">
        <v>36</v>
      </c>
      <c r="D15" s="59"/>
      <c r="E15" s="95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80"/>
    </row>
    <row r="17" spans="2:17" x14ac:dyDescent="0.2">
      <c r="C17" s="23"/>
      <c r="D17" s="23"/>
    </row>
    <row r="18" spans="2:17" ht="12.75" customHeight="1" x14ac:dyDescent="0.2">
      <c r="B18" s="46"/>
      <c r="C18" s="111" t="s">
        <v>2</v>
      </c>
      <c r="D18" s="107" t="s">
        <v>21</v>
      </c>
      <c r="E18" s="96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81"/>
    </row>
    <row r="19" spans="2:17" ht="12" customHeight="1" x14ac:dyDescent="0.2">
      <c r="B19" s="46"/>
      <c r="C19" s="111"/>
      <c r="D19" s="107"/>
      <c r="E19" s="96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81"/>
    </row>
    <row r="20" spans="2:17" hidden="1" x14ac:dyDescent="0.2">
      <c r="B20" s="52"/>
      <c r="C20" s="14"/>
      <c r="D20" s="15"/>
      <c r="E20" s="9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82">
        <f>SUM(Tabela9[[#This Row],[3]:[45]])</f>
        <v>0</v>
      </c>
    </row>
    <row r="21" spans="2:17" hidden="1" x14ac:dyDescent="0.2">
      <c r="B21" s="52"/>
      <c r="C21" s="14"/>
      <c r="D21" s="15"/>
      <c r="E21" s="97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82">
        <f>SUM(Tabela9[[#This Row],[3]:[45]])</f>
        <v>0</v>
      </c>
    </row>
    <row r="22" spans="2:17" hidden="1" x14ac:dyDescent="0.2">
      <c r="B22" s="52"/>
      <c r="C22" s="14"/>
      <c r="D22" s="15"/>
      <c r="E22" s="97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7"/>
      <c r="Q22" s="82">
        <f>SUM(Tabela9[[#This Row],[3]:[45]])</f>
        <v>0</v>
      </c>
    </row>
    <row r="23" spans="2:17" hidden="1" x14ac:dyDescent="0.2">
      <c r="B23" s="52"/>
      <c r="C23" s="14"/>
      <c r="D23" s="15"/>
      <c r="E23" s="97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82">
        <f>SUM(Tabela9[[#This Row],[3]:[45]])</f>
        <v>0</v>
      </c>
    </row>
    <row r="24" spans="2:17" hidden="1" x14ac:dyDescent="0.2">
      <c r="B24" s="52"/>
      <c r="C24" s="14"/>
      <c r="D24" s="15"/>
      <c r="E24" s="97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7"/>
      <c r="Q24" s="82">
        <f>SUM(Tabela9[[#This Row],[3]:[45]])</f>
        <v>0</v>
      </c>
    </row>
    <row r="25" spans="2:17" hidden="1" x14ac:dyDescent="0.2">
      <c r="B25" s="52"/>
      <c r="C25" s="14"/>
      <c r="D25" s="15"/>
      <c r="E25" s="97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7"/>
      <c r="Q25" s="82">
        <f>SUM(Tabela9[[#This Row],[3]:[45]])</f>
        <v>0</v>
      </c>
    </row>
    <row r="26" spans="2:17" hidden="1" x14ac:dyDescent="0.2">
      <c r="B26" s="52"/>
      <c r="C26" s="14"/>
      <c r="D26" s="15"/>
      <c r="E26" s="97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7"/>
      <c r="Q26" s="82">
        <f>SUM(Tabela9[[#This Row],[3]:[45]])</f>
        <v>0</v>
      </c>
    </row>
    <row r="27" spans="2:17" x14ac:dyDescent="0.2">
      <c r="B27" s="49"/>
      <c r="C27" s="50" t="s">
        <v>15</v>
      </c>
      <c r="D27" s="48"/>
      <c r="E27" s="83">
        <f t="shared" ref="E27:Q27" si="8">SUM(E20:E26)</f>
        <v>0</v>
      </c>
      <c r="F27" s="51">
        <f t="shared" si="8"/>
        <v>0</v>
      </c>
      <c r="G27" s="51">
        <f t="shared" si="8"/>
        <v>0</v>
      </c>
      <c r="H27" s="51">
        <f t="shared" si="8"/>
        <v>0</v>
      </c>
      <c r="I27" s="51">
        <f t="shared" si="8"/>
        <v>0</v>
      </c>
      <c r="J27" s="51">
        <f t="shared" si="8"/>
        <v>0</v>
      </c>
      <c r="K27" s="51">
        <f t="shared" si="8"/>
        <v>0</v>
      </c>
      <c r="L27" s="51">
        <f t="shared" si="8"/>
        <v>0</v>
      </c>
      <c r="M27" s="51">
        <f t="shared" si="8"/>
        <v>0</v>
      </c>
      <c r="N27" s="51">
        <f t="shared" si="8"/>
        <v>0</v>
      </c>
      <c r="O27" s="51">
        <f t="shared" si="8"/>
        <v>0</v>
      </c>
      <c r="P27" s="51">
        <f t="shared" si="8"/>
        <v>0</v>
      </c>
      <c r="Q27" s="83">
        <f t="shared" si="8"/>
        <v>0</v>
      </c>
    </row>
    <row r="30" spans="2:17" ht="12.75" customHeight="1" x14ac:dyDescent="0.2">
      <c r="B30" s="46"/>
      <c r="C30" s="111" t="str">
        <f>Tabelas!B9</f>
        <v>Independência Financeira</v>
      </c>
      <c r="D30" s="107"/>
      <c r="E30" s="98">
        <v>0.15</v>
      </c>
      <c r="F30" s="53">
        <v>0.15</v>
      </c>
      <c r="G30" s="53">
        <v>0.15</v>
      </c>
      <c r="H30" s="53">
        <v>0.15</v>
      </c>
      <c r="I30" s="53">
        <v>0.15</v>
      </c>
      <c r="J30" s="53">
        <v>0.15</v>
      </c>
      <c r="K30" s="53">
        <v>0.15</v>
      </c>
      <c r="L30" s="53">
        <v>0.15</v>
      </c>
      <c r="M30" s="53">
        <v>0.15</v>
      </c>
      <c r="N30" s="53">
        <v>0.15</v>
      </c>
      <c r="O30" s="53">
        <v>0.15</v>
      </c>
      <c r="P30" s="53">
        <v>0.15</v>
      </c>
      <c r="Q30" s="84">
        <f>AVERAGE(E30:P30)</f>
        <v>0.14999999999999997</v>
      </c>
    </row>
    <row r="31" spans="2:17" ht="12.75" customHeight="1" x14ac:dyDescent="0.2">
      <c r="B31" s="46"/>
      <c r="C31" s="111"/>
      <c r="D31" s="107"/>
      <c r="E31" s="99">
        <f>(SUMIF($D$20:$D$26,Tabelas!$D$3,Orçamento!E20:E26)*E30)+SUMIF($D$20:$D$26,$C$30,Orçamento!E20:E26)</f>
        <v>0</v>
      </c>
      <c r="F31" s="54">
        <f>(SUMIF($D$20:$D$26,Tabelas!$D$3,Orçamento!F20:F26)*F30)+SUMIF($D$20:$D$26,$C$30,Orçamento!F20:F26)</f>
        <v>0</v>
      </c>
      <c r="G31" s="54">
        <f>(SUMIF($D$20:$D$26,Tabelas!$D$3,Orçamento!G20:G26)*G30)+SUMIF($D$20:$D$26,$C$30,Orçamento!G20:G26)</f>
        <v>0</v>
      </c>
      <c r="H31" s="54">
        <f>(SUMIF($D$20:$D$26,Tabelas!$D$3,Orçamento!H20:H26)*H30)+SUMIF($D$20:$D$26,$C$30,Orçamento!H20:H26)</f>
        <v>0</v>
      </c>
      <c r="I31" s="54">
        <f>(SUMIF($D$20:$D$26,Tabelas!$D$3,Orçamento!I20:I26)*I30)+SUMIF($D$20:$D$26,$C$30,Orçamento!I20:I26)</f>
        <v>0</v>
      </c>
      <c r="J31" s="54">
        <f>(SUMIF($D$20:$D$26,Tabelas!$D$3,Orçamento!J20:J26)*J30)+SUMIF($D$20:$D$26,$C$30,Orçamento!J20:J26)</f>
        <v>0</v>
      </c>
      <c r="K31" s="54">
        <f>(SUMIF($D$20:$D$26,Tabelas!$D$3,Orçamento!K20:K26)*K30)+SUMIF($D$20:$D$26,$C$30,Orçamento!K20:K26)</f>
        <v>0</v>
      </c>
      <c r="L31" s="54">
        <f>(SUMIF($D$20:$D$26,Tabelas!$D$3,Orçamento!L20:L26)*L30)+SUMIF($D$20:$D$26,$C$30,Orçamento!L20:L26)</f>
        <v>0</v>
      </c>
      <c r="M31" s="54">
        <f>(SUMIF($D$20:$D$26,Tabelas!$D$3,Orçamento!M20:M26)*M30)+SUMIF($D$20:$D$26,$C$30,Orçamento!M20:M26)</f>
        <v>0</v>
      </c>
      <c r="N31" s="54">
        <f>(SUMIF($D$20:$D$26,Tabelas!$D$3,Orçamento!N20:N26)*N30)+SUMIF($D$20:$D$26,$C$30,Orçamento!N20:N26)</f>
        <v>0</v>
      </c>
      <c r="O31" s="54">
        <f>(SUMIF($D$20:$D$26,Tabelas!$D$3,Orçamento!O20:O26)*O30)+SUMIF($D$20:$D$26,$C$30,Orçamento!O20:O26)</f>
        <v>0</v>
      </c>
      <c r="P31" s="54">
        <f>(SUMIF($D$20:$D$26,Tabelas!$D$3,Orçamento!P20:P26)*P30)+SUMIF($D$20:$D$26,$C$30,Orçamento!P20:P26)</f>
        <v>0</v>
      </c>
      <c r="Q31" s="85">
        <f>SUM(E31:P31)</f>
        <v>0</v>
      </c>
    </row>
    <row r="32" spans="2:17" hidden="1" x14ac:dyDescent="0.2">
      <c r="B32" s="52"/>
      <c r="C32" s="14"/>
      <c r="D32" s="15"/>
      <c r="E32" s="100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82">
        <f>SUM(E32:P32)</f>
        <v>0</v>
      </c>
    </row>
    <row r="33" spans="2:17" hidden="1" x14ac:dyDescent="0.2">
      <c r="B33" s="52"/>
      <c r="C33" s="14"/>
      <c r="D33" s="15"/>
      <c r="E33" s="97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82">
        <f t="shared" ref="Q33:Q35" si="9">SUM(E33:P33)</f>
        <v>0</v>
      </c>
    </row>
    <row r="34" spans="2:17" hidden="1" x14ac:dyDescent="0.2">
      <c r="B34" s="52"/>
      <c r="C34" s="14"/>
      <c r="D34" s="15"/>
      <c r="E34" s="100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82">
        <f t="shared" si="9"/>
        <v>0</v>
      </c>
    </row>
    <row r="35" spans="2:17" hidden="1" x14ac:dyDescent="0.2">
      <c r="B35" s="52"/>
      <c r="C35" s="14"/>
      <c r="D35" s="15"/>
      <c r="E35" s="100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82">
        <f t="shared" si="9"/>
        <v>0</v>
      </c>
    </row>
    <row r="36" spans="2:17" x14ac:dyDescent="0.2">
      <c r="B36" s="49"/>
      <c r="C36" s="50" t="str">
        <f>"Total "&amp;C30</f>
        <v>Total Independência Financeira</v>
      </c>
      <c r="D36" s="48"/>
      <c r="E36" s="83">
        <f t="shared" ref="E36:Q36" si="10">SUM(E32:E35)</f>
        <v>0</v>
      </c>
      <c r="F36" s="51">
        <f t="shared" si="10"/>
        <v>0</v>
      </c>
      <c r="G36" s="51">
        <f t="shared" si="10"/>
        <v>0</v>
      </c>
      <c r="H36" s="51">
        <f t="shared" si="10"/>
        <v>0</v>
      </c>
      <c r="I36" s="51">
        <f t="shared" si="10"/>
        <v>0</v>
      </c>
      <c r="J36" s="51">
        <f t="shared" si="10"/>
        <v>0</v>
      </c>
      <c r="K36" s="51">
        <f t="shared" si="10"/>
        <v>0</v>
      </c>
      <c r="L36" s="51">
        <f t="shared" si="10"/>
        <v>0</v>
      </c>
      <c r="M36" s="51">
        <f t="shared" si="10"/>
        <v>0</v>
      </c>
      <c r="N36" s="51">
        <f t="shared" si="10"/>
        <v>0</v>
      </c>
      <c r="O36" s="51">
        <f t="shared" si="10"/>
        <v>0</v>
      </c>
      <c r="P36" s="51">
        <f t="shared" si="10"/>
        <v>0</v>
      </c>
      <c r="Q36" s="83">
        <f t="shared" si="10"/>
        <v>0</v>
      </c>
    </row>
    <row r="37" spans="2:17" x14ac:dyDescent="0.2">
      <c r="Q37" s="33"/>
    </row>
    <row r="39" spans="2:17" ht="12.75" customHeight="1" x14ac:dyDescent="0.2">
      <c r="B39" s="26"/>
      <c r="C39" s="110" t="str">
        <f>Tabelas!B3</f>
        <v>Necessidades Básicas</v>
      </c>
      <c r="D39" s="106"/>
      <c r="E39" s="101">
        <v>0.5</v>
      </c>
      <c r="F39" s="36">
        <v>0.5</v>
      </c>
      <c r="G39" s="36">
        <v>0.5</v>
      </c>
      <c r="H39" s="36">
        <v>0.5</v>
      </c>
      <c r="I39" s="36">
        <v>0.5</v>
      </c>
      <c r="J39" s="36">
        <v>0.5</v>
      </c>
      <c r="K39" s="36">
        <v>0.5</v>
      </c>
      <c r="L39" s="36">
        <v>0.5</v>
      </c>
      <c r="M39" s="36">
        <v>0.5</v>
      </c>
      <c r="N39" s="36">
        <v>0.5</v>
      </c>
      <c r="O39" s="36">
        <v>0.5</v>
      </c>
      <c r="P39" s="36">
        <v>0.5</v>
      </c>
      <c r="Q39" s="86">
        <f>AVERAGE(E39:P39)</f>
        <v>0.5</v>
      </c>
    </row>
    <row r="40" spans="2:17" ht="12.75" customHeight="1" x14ac:dyDescent="0.2">
      <c r="B40" s="26"/>
      <c r="C40" s="110"/>
      <c r="D40" s="106"/>
      <c r="E40" s="102">
        <f>(SUMIF($D$20:$D$26,Tabelas!$D$3,Orçamento!E20:E26)*E39)+SUMIF($D$20:$D$26,C39,Orçamento!E20:E26)</f>
        <v>0</v>
      </c>
      <c r="F40" s="30">
        <f>(SUMIF($D$20:$D$26,Tabelas!$D$3,Orçamento!F20:F26)*F39)+SUMIF($D$20:$D$26,$C$39,Orçamento!F20:F26)</f>
        <v>0</v>
      </c>
      <c r="G40" s="30">
        <f>(SUMIF($D$20:$D$26,Tabelas!$D$3,Orçamento!G20:G26)*G39)+SUMIF($D$20:$D$26,$C$39,Orçamento!G20:G26)</f>
        <v>0</v>
      </c>
      <c r="H40" s="30">
        <f>(SUMIF($D$20:$D$26,Tabelas!$D$3,Orçamento!H20:H26)*H39)+SUMIF($D$20:$D$26,$C$39,Orçamento!H20:H26)</f>
        <v>0</v>
      </c>
      <c r="I40" s="30">
        <f>(SUMIF($D$20:$D$26,Tabelas!$D$3,Orçamento!I20:I26)*I39)+SUMIF($D$20:$D$26,$C$39,Orçamento!I20:I26)</f>
        <v>0</v>
      </c>
      <c r="J40" s="30">
        <f>(SUMIF($D$20:$D$26,Tabelas!$D$3,Orçamento!J20:J26)*J39)+SUMIF($D$20:$D$26,$C$39,Orçamento!J20:J26)</f>
        <v>0</v>
      </c>
      <c r="K40" s="30">
        <f>(SUMIF($D$20:$D$26,Tabelas!$D$3,Orçamento!K20:K26)*K39)+SUMIF($D$20:$D$26,$C$39,Orçamento!K20:K26)</f>
        <v>0</v>
      </c>
      <c r="L40" s="30">
        <f>(SUMIF($D$20:$D$26,Tabelas!$D$3,Orçamento!L20:L26)*L39)+SUMIF($D$20:$D$26,$C$39,Orçamento!L20:L26)</f>
        <v>0</v>
      </c>
      <c r="M40" s="30">
        <f>(SUMIF($D$20:$D$26,Tabelas!$D$3,Orçamento!M20:M26)*M39)+SUMIF($D$20:$D$26,$C$39,Orçamento!M20:M26)</f>
        <v>0</v>
      </c>
      <c r="N40" s="30">
        <f>(SUMIF($D$20:$D$26,Tabelas!$D$3,Orçamento!N20:N26)*N39)+SUMIF($D$20:$D$26,$C$39,Orçamento!N20:N26)</f>
        <v>0</v>
      </c>
      <c r="O40" s="30">
        <f>(SUMIF($D$20:$D$26,Tabelas!$D$3,Orçamento!O20:O26)*O39)+SUMIF($D$20:$D$26,$C$39,Orçamento!O20:O26)</f>
        <v>0</v>
      </c>
      <c r="P40" s="30">
        <f>(SUMIF($D$20:$D$26,Tabelas!$D$3,Orçamento!P20:P26)*P39)+SUMIF($D$20:$D$26,$C$39,Orçamento!P20:P26)</f>
        <v>0</v>
      </c>
      <c r="Q40" s="87">
        <f>SUM(E40:P40)</f>
        <v>0</v>
      </c>
    </row>
    <row r="41" spans="2:17" hidden="1" x14ac:dyDescent="0.2">
      <c r="B41" s="57"/>
      <c r="C41" s="14"/>
      <c r="D41" s="15"/>
      <c r="E41" s="100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82">
        <f>SUM(E41:P41)</f>
        <v>0</v>
      </c>
    </row>
    <row r="42" spans="2:17" hidden="1" x14ac:dyDescent="0.2">
      <c r="B42" s="57"/>
      <c r="C42" s="14"/>
      <c r="D42" s="15"/>
      <c r="E42" s="97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82">
        <f t="shared" ref="Q42:Q57" si="11">SUM(E42:P42)</f>
        <v>0</v>
      </c>
    </row>
    <row r="43" spans="2:17" hidden="1" x14ac:dyDescent="0.2">
      <c r="B43" s="57"/>
      <c r="C43" s="14"/>
      <c r="D43" s="15"/>
      <c r="E43" s="97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82">
        <f t="shared" si="11"/>
        <v>0</v>
      </c>
    </row>
    <row r="44" spans="2:17" hidden="1" x14ac:dyDescent="0.2">
      <c r="B44" s="57"/>
      <c r="C44" s="14"/>
      <c r="D44" s="15"/>
      <c r="E44" s="100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82">
        <f t="shared" si="11"/>
        <v>0</v>
      </c>
    </row>
    <row r="45" spans="2:17" hidden="1" x14ac:dyDescent="0.2">
      <c r="B45" s="57"/>
      <c r="C45" s="14"/>
      <c r="D45" s="15"/>
      <c r="E45" s="97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82">
        <f t="shared" si="11"/>
        <v>0</v>
      </c>
    </row>
    <row r="46" spans="2:17" hidden="1" x14ac:dyDescent="0.2">
      <c r="B46" s="57"/>
      <c r="C46" s="14"/>
      <c r="D46" s="15"/>
      <c r="E46" s="100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82">
        <f t="shared" si="11"/>
        <v>0</v>
      </c>
    </row>
    <row r="47" spans="2:17" hidden="1" x14ac:dyDescent="0.2">
      <c r="B47" s="57"/>
      <c r="C47" s="14"/>
      <c r="D47" s="15"/>
      <c r="E47" s="97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82">
        <f t="shared" si="11"/>
        <v>0</v>
      </c>
    </row>
    <row r="48" spans="2:17" hidden="1" x14ac:dyDescent="0.2">
      <c r="B48" s="57"/>
      <c r="C48" s="14"/>
      <c r="D48" s="15"/>
      <c r="E48" s="100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82">
        <f t="shared" si="11"/>
        <v>0</v>
      </c>
    </row>
    <row r="49" spans="2:17" hidden="1" x14ac:dyDescent="0.2">
      <c r="B49" s="57"/>
      <c r="C49" s="14"/>
      <c r="D49" s="15"/>
      <c r="E49" s="97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82">
        <f t="shared" si="11"/>
        <v>0</v>
      </c>
    </row>
    <row r="50" spans="2:17" hidden="1" x14ac:dyDescent="0.2">
      <c r="B50" s="57"/>
      <c r="C50" s="14"/>
      <c r="D50" s="15"/>
      <c r="E50" s="100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82">
        <f t="shared" si="11"/>
        <v>0</v>
      </c>
    </row>
    <row r="51" spans="2:17" hidden="1" x14ac:dyDescent="0.2">
      <c r="B51" s="57"/>
      <c r="C51" s="14"/>
      <c r="D51" s="15"/>
      <c r="E51" s="97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82">
        <f t="shared" si="11"/>
        <v>0</v>
      </c>
    </row>
    <row r="52" spans="2:17" hidden="1" x14ac:dyDescent="0.2">
      <c r="B52" s="57"/>
      <c r="C52" s="14"/>
      <c r="D52" s="15"/>
      <c r="E52" s="100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82">
        <f t="shared" si="11"/>
        <v>0</v>
      </c>
    </row>
    <row r="53" spans="2:17" hidden="1" x14ac:dyDescent="0.2">
      <c r="B53" s="57"/>
      <c r="C53" s="14"/>
      <c r="D53" s="15"/>
      <c r="E53" s="97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82">
        <f t="shared" si="11"/>
        <v>0</v>
      </c>
    </row>
    <row r="54" spans="2:17" hidden="1" x14ac:dyDescent="0.2">
      <c r="B54" s="57"/>
      <c r="C54" s="14"/>
      <c r="D54" s="15"/>
      <c r="E54" s="100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82">
        <f t="shared" si="11"/>
        <v>0</v>
      </c>
    </row>
    <row r="55" spans="2:17" hidden="1" x14ac:dyDescent="0.2">
      <c r="B55" s="57"/>
      <c r="C55" s="14"/>
      <c r="D55" s="15"/>
      <c r="E55" s="97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82">
        <f t="shared" si="11"/>
        <v>0</v>
      </c>
    </row>
    <row r="56" spans="2:17" hidden="1" x14ac:dyDescent="0.2">
      <c r="B56" s="57"/>
      <c r="C56" s="14"/>
      <c r="D56" s="15"/>
      <c r="E56" s="97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82">
        <f t="shared" si="11"/>
        <v>0</v>
      </c>
    </row>
    <row r="57" spans="2:17" hidden="1" x14ac:dyDescent="0.2">
      <c r="B57" s="57"/>
      <c r="C57" s="14"/>
      <c r="D57" s="15"/>
      <c r="E57" s="100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82">
        <f t="shared" si="11"/>
        <v>0</v>
      </c>
    </row>
    <row r="58" spans="2:17" x14ac:dyDescent="0.2">
      <c r="B58" s="35"/>
      <c r="C58" s="28" t="str">
        <f>"Total "&amp;C39</f>
        <v>Total Necessidades Básicas</v>
      </c>
      <c r="D58" s="27"/>
      <c r="E58" s="88">
        <f t="shared" ref="E58:Q58" si="12">SUM(E41:E57)</f>
        <v>0</v>
      </c>
      <c r="F58" s="29">
        <f t="shared" si="12"/>
        <v>0</v>
      </c>
      <c r="G58" s="29">
        <f t="shared" si="12"/>
        <v>0</v>
      </c>
      <c r="H58" s="29">
        <f t="shared" si="12"/>
        <v>0</v>
      </c>
      <c r="I58" s="29">
        <f t="shared" si="12"/>
        <v>0</v>
      </c>
      <c r="J58" s="29">
        <f t="shared" si="12"/>
        <v>0</v>
      </c>
      <c r="K58" s="29">
        <f t="shared" si="12"/>
        <v>0</v>
      </c>
      <c r="L58" s="29">
        <f t="shared" si="12"/>
        <v>0</v>
      </c>
      <c r="M58" s="29">
        <f t="shared" si="12"/>
        <v>0</v>
      </c>
      <c r="N58" s="29">
        <f t="shared" si="12"/>
        <v>0</v>
      </c>
      <c r="O58" s="29">
        <f t="shared" si="12"/>
        <v>0</v>
      </c>
      <c r="P58" s="29">
        <f t="shared" si="12"/>
        <v>0</v>
      </c>
      <c r="Q58" s="88">
        <f t="shared" si="12"/>
        <v>0</v>
      </c>
    </row>
    <row r="59" spans="2:17" x14ac:dyDescent="0.2"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</row>
    <row r="60" spans="2:17" x14ac:dyDescent="0.2"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</row>
    <row r="61" spans="2:17" ht="12.75" customHeight="1" x14ac:dyDescent="0.2">
      <c r="B61" s="26"/>
      <c r="C61" s="110" t="str">
        <f>Tabelas!B4</f>
        <v>Lazer</v>
      </c>
      <c r="D61" s="106"/>
      <c r="E61" s="101">
        <v>0.05</v>
      </c>
      <c r="F61" s="36">
        <v>0.05</v>
      </c>
      <c r="G61" s="36">
        <v>0.05</v>
      </c>
      <c r="H61" s="36">
        <v>0.05</v>
      </c>
      <c r="I61" s="36">
        <v>0.05</v>
      </c>
      <c r="J61" s="36">
        <v>0.05</v>
      </c>
      <c r="K61" s="36">
        <v>0.05</v>
      </c>
      <c r="L61" s="36">
        <v>0.05</v>
      </c>
      <c r="M61" s="36">
        <v>0.05</v>
      </c>
      <c r="N61" s="36">
        <v>0.05</v>
      </c>
      <c r="O61" s="36">
        <v>0.05</v>
      </c>
      <c r="P61" s="36">
        <v>0.05</v>
      </c>
      <c r="Q61" s="86">
        <f>AVERAGE(E61:P61)</f>
        <v>4.9999999999999996E-2</v>
      </c>
    </row>
    <row r="62" spans="2:17" ht="12.75" customHeight="1" x14ac:dyDescent="0.2">
      <c r="B62" s="26"/>
      <c r="C62" s="110"/>
      <c r="D62" s="106"/>
      <c r="E62" s="102">
        <f>(SUMIF($D$20:$D$26,Tabelas!$D$3,Orçamento!E20:E26)*E61)+SUMIF($D$20:$D$26,$C$61,Orçamento!E20:E26)</f>
        <v>0</v>
      </c>
      <c r="F62" s="30">
        <f>(SUMIF($D$20:$D$26,Tabelas!$D$3,Orçamento!F20:F26)*F61)+SUMIF($D$20:$D$26,$C$61,Orçamento!F20:F26)</f>
        <v>0</v>
      </c>
      <c r="G62" s="30">
        <f>(SUMIF($D$20:$D$26,Tabelas!$D$3,Orçamento!G20:G26)*G61)+SUMIF($D$20:$D$26,$C$61,Orçamento!G20:G26)</f>
        <v>0</v>
      </c>
      <c r="H62" s="30">
        <f>(SUMIF($D$20:$D$26,Tabelas!$D$3,Orçamento!H20:H26)*H61)+SUMIF($D$20:$D$26,$C$61,Orçamento!H20:H26)</f>
        <v>0</v>
      </c>
      <c r="I62" s="30">
        <f>(SUMIF($D$20:$D$26,Tabelas!$D$3,Orçamento!I20:I26)*I61)+SUMIF($D$20:$D$26,$C$61,Orçamento!I20:I26)</f>
        <v>0</v>
      </c>
      <c r="J62" s="30">
        <f>(SUMIF($D$20:$D$26,Tabelas!$D$3,Orçamento!J20:J26)*J61)+SUMIF($D$20:$D$26,$C$61,Orçamento!J20:J26)</f>
        <v>0</v>
      </c>
      <c r="K62" s="30">
        <f>(SUMIF($D$20:$D$26,Tabelas!$D$3,Orçamento!K20:K26)*K61)+SUMIF($D$20:$D$26,$C$61,Orçamento!K20:K26)</f>
        <v>0</v>
      </c>
      <c r="L62" s="30">
        <f>(SUMIF($D$20:$D$26,Tabelas!$D$3,Orçamento!L20:L26)*L61)+SUMIF($D$20:$D$26,$C$61,Orçamento!L20:L26)</f>
        <v>0</v>
      </c>
      <c r="M62" s="30">
        <f>(SUMIF($D$20:$D$26,Tabelas!$D$3,Orçamento!M20:M26)*M61)+SUMIF($D$20:$D$26,$C$61,Orçamento!M20:M26)</f>
        <v>0</v>
      </c>
      <c r="N62" s="30">
        <f>(SUMIF($D$20:$D$26,Tabelas!$D$3,Orçamento!N20:N26)*N61)+SUMIF($D$20:$D$26,$C$61,Orçamento!N20:N26)</f>
        <v>0</v>
      </c>
      <c r="O62" s="30">
        <f>(SUMIF($D$20:$D$26,Tabelas!$D$3,Orçamento!O20:O26)*O61)+SUMIF($D$20:$D$26,$C$61,Orçamento!O20:O26)</f>
        <v>0</v>
      </c>
      <c r="P62" s="30">
        <f>(SUMIF($D$20:$D$26,Tabelas!$D$3,Orçamento!P20:P26)*P61)+SUMIF($D$20:$D$26,$C$61,Orçamento!P20:P26)</f>
        <v>0</v>
      </c>
      <c r="Q62" s="87">
        <f>SUM(E62:P62)</f>
        <v>0</v>
      </c>
    </row>
    <row r="63" spans="2:17" hidden="1" x14ac:dyDescent="0.2">
      <c r="B63" s="57"/>
      <c r="C63" s="14"/>
      <c r="D63" s="15"/>
      <c r="E63" s="100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82">
        <f>SUM(E63:P63)</f>
        <v>0</v>
      </c>
    </row>
    <row r="64" spans="2:17" hidden="1" x14ac:dyDescent="0.2">
      <c r="B64" s="57"/>
      <c r="C64" s="14"/>
      <c r="D64" s="15"/>
      <c r="E64" s="97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82">
        <f t="shared" ref="Q64:Q78" si="13">SUM(E64:P64)</f>
        <v>0</v>
      </c>
    </row>
    <row r="65" spans="2:17" hidden="1" x14ac:dyDescent="0.2">
      <c r="B65" s="57"/>
      <c r="C65" s="14"/>
      <c r="D65" s="15"/>
      <c r="E65" s="100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82">
        <f t="shared" si="13"/>
        <v>0</v>
      </c>
    </row>
    <row r="66" spans="2:17" hidden="1" x14ac:dyDescent="0.2">
      <c r="B66" s="57"/>
      <c r="C66" s="14"/>
      <c r="D66" s="15"/>
      <c r="E66" s="97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82">
        <f t="shared" si="13"/>
        <v>0</v>
      </c>
    </row>
    <row r="67" spans="2:17" hidden="1" x14ac:dyDescent="0.2">
      <c r="B67" s="57"/>
      <c r="C67" s="14"/>
      <c r="D67" s="15"/>
      <c r="E67" s="97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82">
        <f t="shared" si="13"/>
        <v>0</v>
      </c>
    </row>
    <row r="68" spans="2:17" hidden="1" x14ac:dyDescent="0.2">
      <c r="B68" s="57"/>
      <c r="C68" s="14"/>
      <c r="D68" s="15"/>
      <c r="E68" s="97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82">
        <f t="shared" si="13"/>
        <v>0</v>
      </c>
    </row>
    <row r="69" spans="2:17" hidden="1" x14ac:dyDescent="0.2">
      <c r="B69" s="57"/>
      <c r="C69" s="14"/>
      <c r="D69" s="15"/>
      <c r="E69" s="97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82">
        <f t="shared" si="13"/>
        <v>0</v>
      </c>
    </row>
    <row r="70" spans="2:17" hidden="1" x14ac:dyDescent="0.2">
      <c r="B70" s="57"/>
      <c r="C70" s="14"/>
      <c r="D70" s="15"/>
      <c r="E70" s="97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82">
        <f t="shared" si="13"/>
        <v>0</v>
      </c>
    </row>
    <row r="71" spans="2:17" hidden="1" x14ac:dyDescent="0.2">
      <c r="B71" s="57"/>
      <c r="C71" s="14"/>
      <c r="D71" s="15"/>
      <c r="E71" s="97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82">
        <f t="shared" si="13"/>
        <v>0</v>
      </c>
    </row>
    <row r="72" spans="2:17" hidden="1" x14ac:dyDescent="0.2">
      <c r="B72" s="57"/>
      <c r="C72" s="14"/>
      <c r="D72" s="15"/>
      <c r="E72" s="97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82">
        <f t="shared" si="13"/>
        <v>0</v>
      </c>
    </row>
    <row r="73" spans="2:17" hidden="1" x14ac:dyDescent="0.2">
      <c r="B73" s="57"/>
      <c r="C73" s="14"/>
      <c r="D73" s="15"/>
      <c r="E73" s="97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82">
        <f t="shared" si="13"/>
        <v>0</v>
      </c>
    </row>
    <row r="74" spans="2:17" hidden="1" x14ac:dyDescent="0.2">
      <c r="B74" s="57"/>
      <c r="C74" s="14"/>
      <c r="D74" s="15"/>
      <c r="E74" s="100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82">
        <f t="shared" si="13"/>
        <v>0</v>
      </c>
    </row>
    <row r="75" spans="2:17" hidden="1" x14ac:dyDescent="0.2">
      <c r="B75" s="57"/>
      <c r="C75" s="14"/>
      <c r="D75" s="15"/>
      <c r="E75" s="97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82">
        <f t="shared" si="13"/>
        <v>0</v>
      </c>
    </row>
    <row r="76" spans="2:17" hidden="1" x14ac:dyDescent="0.2">
      <c r="B76" s="57"/>
      <c r="C76" s="14"/>
      <c r="D76" s="15"/>
      <c r="E76" s="9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82">
        <f t="shared" si="13"/>
        <v>0</v>
      </c>
    </row>
    <row r="77" spans="2:17" hidden="1" x14ac:dyDescent="0.2">
      <c r="B77" s="57"/>
      <c r="C77" s="14"/>
      <c r="D77" s="15"/>
      <c r="E77" s="97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82">
        <f>SUM(E77:P77)</f>
        <v>0</v>
      </c>
    </row>
    <row r="78" spans="2:17" hidden="1" x14ac:dyDescent="0.2">
      <c r="B78" s="57"/>
      <c r="C78" s="14"/>
      <c r="D78" s="15"/>
      <c r="E78" s="100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82">
        <f t="shared" si="13"/>
        <v>0</v>
      </c>
    </row>
    <row r="79" spans="2:17" x14ac:dyDescent="0.2">
      <c r="B79" s="35"/>
      <c r="C79" s="28" t="str">
        <f>"Total "&amp;C61</f>
        <v>Total Lazer</v>
      </c>
      <c r="D79" s="27"/>
      <c r="E79" s="88">
        <f t="shared" ref="E79:Q79" si="14">SUM(E63:E78)</f>
        <v>0</v>
      </c>
      <c r="F79" s="29">
        <f t="shared" si="14"/>
        <v>0</v>
      </c>
      <c r="G79" s="29">
        <f t="shared" si="14"/>
        <v>0</v>
      </c>
      <c r="H79" s="29">
        <f t="shared" si="14"/>
        <v>0</v>
      </c>
      <c r="I79" s="29">
        <f t="shared" si="14"/>
        <v>0</v>
      </c>
      <c r="J79" s="29">
        <f t="shared" si="14"/>
        <v>0</v>
      </c>
      <c r="K79" s="29">
        <f t="shared" si="14"/>
        <v>0</v>
      </c>
      <c r="L79" s="29">
        <f t="shared" si="14"/>
        <v>0</v>
      </c>
      <c r="M79" s="29">
        <f t="shared" si="14"/>
        <v>0</v>
      </c>
      <c r="N79" s="29">
        <f t="shared" si="14"/>
        <v>0</v>
      </c>
      <c r="O79" s="29">
        <f t="shared" si="14"/>
        <v>0</v>
      </c>
      <c r="P79" s="29">
        <f t="shared" si="14"/>
        <v>0</v>
      </c>
      <c r="Q79" s="88">
        <f t="shared" si="14"/>
        <v>0</v>
      </c>
    </row>
    <row r="82" spans="2:17" ht="12.75" customHeight="1" x14ac:dyDescent="0.2">
      <c r="B82" s="26"/>
      <c r="C82" s="110" t="str">
        <f>Tabelas!B6</f>
        <v>Saúde</v>
      </c>
      <c r="D82" s="106"/>
      <c r="E82" s="101">
        <v>0.05</v>
      </c>
      <c r="F82" s="36">
        <v>0.05</v>
      </c>
      <c r="G82" s="36">
        <v>0.05</v>
      </c>
      <c r="H82" s="36">
        <v>0.05</v>
      </c>
      <c r="I82" s="36">
        <v>0.05</v>
      </c>
      <c r="J82" s="36">
        <v>0.05</v>
      </c>
      <c r="K82" s="36">
        <v>0.05</v>
      </c>
      <c r="L82" s="36">
        <v>0.05</v>
      </c>
      <c r="M82" s="36">
        <v>0.05</v>
      </c>
      <c r="N82" s="36">
        <v>0.05</v>
      </c>
      <c r="O82" s="36">
        <v>0.05</v>
      </c>
      <c r="P82" s="36">
        <v>0.05</v>
      </c>
      <c r="Q82" s="86">
        <f>AVERAGE(E82:P82)</f>
        <v>4.9999999999999996E-2</v>
      </c>
    </row>
    <row r="83" spans="2:17" ht="12.75" customHeight="1" x14ac:dyDescent="0.2">
      <c r="B83" s="26"/>
      <c r="C83" s="110"/>
      <c r="D83" s="106"/>
      <c r="E83" s="102">
        <f>(SUMIF($D$20:$D$26,Tabelas!$D$3,Orçamento!E20:E26)*E82)+SUMIF($D$20:$D$26,$C$82,Orçamento!E20:E26)</f>
        <v>0</v>
      </c>
      <c r="F83" s="30">
        <f>(SUMIF($D$20:$D$26,Tabelas!$D$3,Orçamento!F20:F26)*F82)+SUMIF($D$20:$D$26,$C$82,Orçamento!F20:F26)</f>
        <v>0</v>
      </c>
      <c r="G83" s="30">
        <f>(SUMIF($D$20:$D$26,Tabelas!$D$3,Orçamento!G20:G26)*G82)+SUMIF($D$20:$D$26,$C$82,Orçamento!G20:G26)</f>
        <v>0</v>
      </c>
      <c r="H83" s="30">
        <f>(SUMIF($D$20:$D$26,Tabelas!$D$3,Orçamento!H20:H26)*H82)+SUMIF($D$20:$D$26,$C$82,Orçamento!H20:H26)</f>
        <v>0</v>
      </c>
      <c r="I83" s="30">
        <f>(SUMIF($D$20:$D$26,Tabelas!$D$3,Orçamento!I20:I26)*I82)+SUMIF($D$20:$D$26,$C$82,Orçamento!I20:I26)</f>
        <v>0</v>
      </c>
      <c r="J83" s="30">
        <f>(SUMIF($D$20:$D$26,Tabelas!$D$3,Orçamento!J20:J26)*J82)+SUMIF($D$20:$D$26,$C$82,Orçamento!J20:J26)</f>
        <v>0</v>
      </c>
      <c r="K83" s="30">
        <f>(SUMIF($D$20:$D$26,Tabelas!$D$3,Orçamento!K20:K26)*K82)+SUMIF($D$20:$D$26,$C$82,Orçamento!K20:K26)</f>
        <v>0</v>
      </c>
      <c r="L83" s="30">
        <f>(SUMIF($D$20:$D$26,Tabelas!$D$3,Orçamento!L20:L26)*L82)+SUMIF($D$20:$D$26,$C$82,Orçamento!L20:L26)</f>
        <v>0</v>
      </c>
      <c r="M83" s="30">
        <f>(SUMIF($D$20:$D$26,Tabelas!$D$3,Orçamento!M20:M26)*M82)+SUMIF($D$20:$D$26,$C$82,Orçamento!M20:M26)</f>
        <v>0</v>
      </c>
      <c r="N83" s="30">
        <f>(SUMIF($D$20:$D$26,Tabelas!$D$3,Orçamento!N20:N26)*N82)+SUMIF($D$20:$D$26,$C$82,Orçamento!N20:N26)</f>
        <v>0</v>
      </c>
      <c r="O83" s="30">
        <f>(SUMIF($D$20:$D$26,Tabelas!$D$3,Orçamento!O20:O26)*O82)+SUMIF($D$20:$D$26,$C$82,Orçamento!O20:O26)</f>
        <v>0</v>
      </c>
      <c r="P83" s="30">
        <f>(SUMIF($D$20:$D$26,Tabelas!$D$3,Orçamento!P20:P26)*P82)+SUMIF($D$20:$D$26,$C$82,Orçamento!P20:P26)</f>
        <v>0</v>
      </c>
      <c r="Q83" s="87">
        <f>SUM(E83:P83)</f>
        <v>0</v>
      </c>
    </row>
    <row r="84" spans="2:17" hidden="1" x14ac:dyDescent="0.2">
      <c r="B84" s="57"/>
      <c r="C84" s="14"/>
      <c r="D84" s="15"/>
      <c r="E84" s="100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82">
        <f>SUM(E84:P84)</f>
        <v>0</v>
      </c>
    </row>
    <row r="85" spans="2:17" hidden="1" x14ac:dyDescent="0.2">
      <c r="B85" s="57"/>
      <c r="C85" s="14"/>
      <c r="D85" s="15"/>
      <c r="E85" s="97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82">
        <f t="shared" ref="Q85:Q93" si="15">SUM(E85:P85)</f>
        <v>0</v>
      </c>
    </row>
    <row r="86" spans="2:17" hidden="1" x14ac:dyDescent="0.2">
      <c r="B86" s="57"/>
      <c r="C86" s="14"/>
      <c r="D86" s="15"/>
      <c r="E86" s="100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82">
        <f t="shared" si="15"/>
        <v>0</v>
      </c>
    </row>
    <row r="87" spans="2:17" hidden="1" x14ac:dyDescent="0.2">
      <c r="B87" s="57"/>
      <c r="C87" s="14"/>
      <c r="D87" s="15"/>
      <c r="E87" s="97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82">
        <f t="shared" si="15"/>
        <v>0</v>
      </c>
    </row>
    <row r="88" spans="2:17" hidden="1" x14ac:dyDescent="0.2">
      <c r="B88" s="57"/>
      <c r="C88" s="14"/>
      <c r="D88" s="15"/>
      <c r="E88" s="100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82">
        <f t="shared" si="15"/>
        <v>0</v>
      </c>
    </row>
    <row r="89" spans="2:17" hidden="1" x14ac:dyDescent="0.2">
      <c r="B89" s="57"/>
      <c r="C89" s="14"/>
      <c r="D89" s="15"/>
      <c r="E89" s="97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82">
        <f t="shared" si="15"/>
        <v>0</v>
      </c>
    </row>
    <row r="90" spans="2:17" hidden="1" x14ac:dyDescent="0.2">
      <c r="B90" s="57"/>
      <c r="C90" s="14"/>
      <c r="D90" s="15"/>
      <c r="E90" s="100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82">
        <f t="shared" si="15"/>
        <v>0</v>
      </c>
    </row>
    <row r="91" spans="2:17" hidden="1" x14ac:dyDescent="0.2">
      <c r="B91" s="57"/>
      <c r="C91" s="14"/>
      <c r="D91" s="15"/>
      <c r="E91" s="97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82">
        <f t="shared" si="15"/>
        <v>0</v>
      </c>
    </row>
    <row r="92" spans="2:17" hidden="1" x14ac:dyDescent="0.2">
      <c r="B92" s="57"/>
      <c r="C92" s="14"/>
      <c r="D92" s="15"/>
      <c r="E92" s="9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82">
        <f t="shared" si="15"/>
        <v>0</v>
      </c>
    </row>
    <row r="93" spans="2:17" hidden="1" x14ac:dyDescent="0.2">
      <c r="B93" s="57"/>
      <c r="C93" s="14"/>
      <c r="D93" s="15"/>
      <c r="E93" s="100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82">
        <f t="shared" si="15"/>
        <v>0</v>
      </c>
    </row>
    <row r="94" spans="2:17" x14ac:dyDescent="0.2">
      <c r="B94" s="35"/>
      <c r="C94" s="28" t="str">
        <f>"Total "&amp;C82</f>
        <v>Total Saúde</v>
      </c>
      <c r="D94" s="27"/>
      <c r="E94" s="88">
        <f t="shared" ref="E94:Q94" si="16">SUM(E84:E93)</f>
        <v>0</v>
      </c>
      <c r="F94" s="29">
        <f t="shared" si="16"/>
        <v>0</v>
      </c>
      <c r="G94" s="29">
        <f t="shared" si="16"/>
        <v>0</v>
      </c>
      <c r="H94" s="29">
        <f t="shared" si="16"/>
        <v>0</v>
      </c>
      <c r="I94" s="29">
        <f t="shared" si="16"/>
        <v>0</v>
      </c>
      <c r="J94" s="29">
        <f t="shared" si="16"/>
        <v>0</v>
      </c>
      <c r="K94" s="29">
        <f t="shared" si="16"/>
        <v>0</v>
      </c>
      <c r="L94" s="29">
        <f t="shared" si="16"/>
        <v>0</v>
      </c>
      <c r="M94" s="29">
        <f t="shared" si="16"/>
        <v>0</v>
      </c>
      <c r="N94" s="29">
        <f t="shared" si="16"/>
        <v>0</v>
      </c>
      <c r="O94" s="29">
        <f t="shared" si="16"/>
        <v>0</v>
      </c>
      <c r="P94" s="29">
        <f t="shared" si="16"/>
        <v>0</v>
      </c>
      <c r="Q94" s="88">
        <f t="shared" si="16"/>
        <v>0</v>
      </c>
    </row>
    <row r="97" spans="2:17" ht="12.75" customHeight="1" x14ac:dyDescent="0.2">
      <c r="B97" s="26"/>
      <c r="C97" s="110" t="str">
        <f>Tabelas!B7</f>
        <v>Educação</v>
      </c>
      <c r="D97" s="106"/>
      <c r="E97" s="101">
        <v>0.05</v>
      </c>
      <c r="F97" s="36">
        <v>0.05</v>
      </c>
      <c r="G97" s="36">
        <v>0.05</v>
      </c>
      <c r="H97" s="36">
        <v>0.05</v>
      </c>
      <c r="I97" s="36">
        <v>0.05</v>
      </c>
      <c r="J97" s="36">
        <v>0.05</v>
      </c>
      <c r="K97" s="36">
        <v>0.05</v>
      </c>
      <c r="L97" s="36">
        <v>0.05</v>
      </c>
      <c r="M97" s="36">
        <v>0.05</v>
      </c>
      <c r="N97" s="36">
        <v>0.05</v>
      </c>
      <c r="O97" s="36">
        <v>0.05</v>
      </c>
      <c r="P97" s="36">
        <v>0.05</v>
      </c>
      <c r="Q97" s="86">
        <f>AVERAGE(E97:P97)</f>
        <v>4.9999999999999996E-2</v>
      </c>
    </row>
    <row r="98" spans="2:17" ht="12.75" customHeight="1" x14ac:dyDescent="0.2">
      <c r="B98" s="26"/>
      <c r="C98" s="110"/>
      <c r="D98" s="106"/>
      <c r="E98" s="102">
        <f>(SUMIF($D$20:$D$26,Tabelas!$D$3,Orçamento!E20:E26)*E97)+SUMIF($D$20:$D$26,$C$97,Orçamento!E20:E26)</f>
        <v>0</v>
      </c>
      <c r="F98" s="30">
        <f>(SUMIF($D$20:$D$26,Tabelas!$D$3,Orçamento!F20:F26)*F97)+SUMIF($D$20:$D$26,$C$97,Orçamento!F20:F26)</f>
        <v>0</v>
      </c>
      <c r="G98" s="30">
        <f>(SUMIF($D$20:$D$26,Tabelas!$D$3,Orçamento!G20:G26)*G97)+SUMIF($D$20:$D$26,$C$97,Orçamento!G20:G26)</f>
        <v>0</v>
      </c>
      <c r="H98" s="30">
        <f>(SUMIF($D$20:$D$26,Tabelas!$D$3,Orçamento!H20:H26)*H97)+SUMIF($D$20:$D$26,$C$97,Orçamento!H20:H26)</f>
        <v>0</v>
      </c>
      <c r="I98" s="30">
        <f>(SUMIF($D$20:$D$26,Tabelas!$D$3,Orçamento!I20:I26)*I97)+SUMIF($D$20:$D$26,$C$97,Orçamento!I20:I26)</f>
        <v>0</v>
      </c>
      <c r="J98" s="30">
        <f>(SUMIF($D$20:$D$26,Tabelas!$D$3,Orçamento!J20:J26)*J97)+SUMIF($D$20:$D$26,$C$97,Orçamento!J20:J26)</f>
        <v>0</v>
      </c>
      <c r="K98" s="30">
        <f>(SUMIF($D$20:$D$26,Tabelas!$D$3,Orçamento!K20:K26)*K97)+SUMIF($D$20:$D$26,$C$97,Orçamento!K20:K26)</f>
        <v>0</v>
      </c>
      <c r="L98" s="30">
        <f>(SUMIF($D$20:$D$26,Tabelas!$D$3,Orçamento!L20:L26)*L97)+SUMIF($D$20:$D$26,$C$97,Orçamento!L20:L26)</f>
        <v>0</v>
      </c>
      <c r="M98" s="30">
        <f>(SUMIF($D$20:$D$26,Tabelas!$D$3,Orçamento!M20:M26)*M97)+SUMIF($D$20:$D$26,$C$97,Orçamento!M20:M26)</f>
        <v>0</v>
      </c>
      <c r="N98" s="30">
        <f>(SUMIF($D$20:$D$26,Tabelas!$D$3,Orçamento!N20:N26)*N97)+SUMIF($D$20:$D$26,$C$97,Orçamento!N20:N26)</f>
        <v>0</v>
      </c>
      <c r="O98" s="30">
        <f>(SUMIF($D$20:$D$26,Tabelas!$D$3,Orçamento!O20:O26)*O97)+SUMIF($D$20:$D$26,$C$97,Orçamento!O20:O26)</f>
        <v>0</v>
      </c>
      <c r="P98" s="30">
        <f>(SUMIF($D$20:$D$26,Tabelas!$D$3,Orçamento!P20:P26)*P97)+SUMIF($D$20:$D$26,$C$97,Orçamento!P20:P26)</f>
        <v>0</v>
      </c>
      <c r="Q98" s="87">
        <f>SUM(E98:P98)</f>
        <v>0</v>
      </c>
    </row>
    <row r="99" spans="2:17" ht="12.75" hidden="1" customHeight="1" x14ac:dyDescent="0.2">
      <c r="B99" s="57"/>
      <c r="C99" s="14"/>
      <c r="D99" s="15"/>
      <c r="E99" s="100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82">
        <f>SUM(E99:P99)</f>
        <v>0</v>
      </c>
    </row>
    <row r="100" spans="2:17" hidden="1" x14ac:dyDescent="0.2">
      <c r="B100" s="57"/>
      <c r="C100" s="14"/>
      <c r="D100" s="15"/>
      <c r="E100" s="97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82">
        <f t="shared" ref="Q100:Q104" si="17">SUM(E100:P100)</f>
        <v>0</v>
      </c>
    </row>
    <row r="101" spans="2:17" hidden="1" x14ac:dyDescent="0.2">
      <c r="B101" s="57"/>
      <c r="C101" s="14"/>
      <c r="D101" s="15"/>
      <c r="E101" s="97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82">
        <f t="shared" si="17"/>
        <v>0</v>
      </c>
    </row>
    <row r="102" spans="2:17" hidden="1" x14ac:dyDescent="0.2">
      <c r="B102" s="57"/>
      <c r="C102" s="14"/>
      <c r="D102" s="15"/>
      <c r="E102" s="100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82">
        <f t="shared" si="17"/>
        <v>0</v>
      </c>
    </row>
    <row r="103" spans="2:17" hidden="1" x14ac:dyDescent="0.2">
      <c r="B103" s="57"/>
      <c r="C103" s="14"/>
      <c r="D103" s="15"/>
      <c r="E103" s="97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82">
        <f t="shared" si="17"/>
        <v>0</v>
      </c>
    </row>
    <row r="104" spans="2:17" hidden="1" x14ac:dyDescent="0.2">
      <c r="B104" s="57"/>
      <c r="C104" s="14"/>
      <c r="D104" s="15"/>
      <c r="E104" s="100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82">
        <f t="shared" si="17"/>
        <v>0</v>
      </c>
    </row>
    <row r="105" spans="2:17" x14ac:dyDescent="0.2">
      <c r="B105" s="35"/>
      <c r="C105" s="28" t="str">
        <f>"Total "&amp;C97</f>
        <v>Total Educação</v>
      </c>
      <c r="D105" s="27"/>
      <c r="E105" s="88">
        <f t="shared" ref="E105:Q105" si="18">SUM(E99:E104)</f>
        <v>0</v>
      </c>
      <c r="F105" s="29">
        <f t="shared" si="18"/>
        <v>0</v>
      </c>
      <c r="G105" s="29">
        <f t="shared" si="18"/>
        <v>0</v>
      </c>
      <c r="H105" s="29">
        <f t="shared" si="18"/>
        <v>0</v>
      </c>
      <c r="I105" s="29">
        <f t="shared" si="18"/>
        <v>0</v>
      </c>
      <c r="J105" s="29">
        <f t="shared" si="18"/>
        <v>0</v>
      </c>
      <c r="K105" s="29">
        <f t="shared" si="18"/>
        <v>0</v>
      </c>
      <c r="L105" s="29">
        <f t="shared" si="18"/>
        <v>0</v>
      </c>
      <c r="M105" s="29">
        <f t="shared" si="18"/>
        <v>0</v>
      </c>
      <c r="N105" s="29">
        <f t="shared" si="18"/>
        <v>0</v>
      </c>
      <c r="O105" s="29">
        <f t="shared" si="18"/>
        <v>0</v>
      </c>
      <c r="P105" s="29">
        <f t="shared" si="18"/>
        <v>0</v>
      </c>
      <c r="Q105" s="88">
        <f t="shared" si="18"/>
        <v>0</v>
      </c>
    </row>
    <row r="108" spans="2:17" ht="12.75" customHeight="1" x14ac:dyDescent="0.2">
      <c r="B108" s="26"/>
      <c r="C108" s="110" t="str">
        <f>Tabelas!B5</f>
        <v>Emergência</v>
      </c>
      <c r="D108" s="106"/>
      <c r="E108" s="101">
        <v>0.1</v>
      </c>
      <c r="F108" s="36">
        <v>0.1</v>
      </c>
      <c r="G108" s="36">
        <v>0.1</v>
      </c>
      <c r="H108" s="36">
        <v>0.1</v>
      </c>
      <c r="I108" s="36">
        <v>0.1</v>
      </c>
      <c r="J108" s="36">
        <v>0.1</v>
      </c>
      <c r="K108" s="36">
        <v>0.1</v>
      </c>
      <c r="L108" s="36">
        <v>0.1</v>
      </c>
      <c r="M108" s="36">
        <v>0.1</v>
      </c>
      <c r="N108" s="36">
        <v>0.1</v>
      </c>
      <c r="O108" s="36">
        <v>0.1</v>
      </c>
      <c r="P108" s="36">
        <v>0.1</v>
      </c>
      <c r="Q108" s="86">
        <f>AVERAGE(E108:P108)</f>
        <v>9.9999999999999992E-2</v>
      </c>
    </row>
    <row r="109" spans="2:17" ht="12.75" customHeight="1" x14ac:dyDescent="0.2">
      <c r="B109" s="26"/>
      <c r="C109" s="110"/>
      <c r="D109" s="106"/>
      <c r="E109" s="102">
        <f>(SUMIF($D$20:$D$26,Tabelas!$D$3,Orçamento!E20:E26)*E108)+SUMIF($D$20:$D$26,$C$108,Orçamento!E20:E26)</f>
        <v>0</v>
      </c>
      <c r="F109" s="30">
        <f>(SUMIF($D$20:$D$26,Tabelas!$D$3,Orçamento!F20:F26)*F108)+SUMIF($D$20:$D$26,$C$108,Orçamento!F20:F26)</f>
        <v>0</v>
      </c>
      <c r="G109" s="30">
        <f>(SUMIF($D$20:$D$26,Tabelas!$D$3,Orçamento!G20:G26)*G108)+SUMIF($D$20:$D$26,$C$108,Orçamento!G20:G26)</f>
        <v>0</v>
      </c>
      <c r="H109" s="30">
        <f>(SUMIF($D$20:$D$26,Tabelas!$D$3,Orçamento!H20:H26)*H108)+SUMIF($D$20:$D$26,$C$108,Orçamento!H20:H26)</f>
        <v>0</v>
      </c>
      <c r="I109" s="30">
        <f>(SUMIF($D$20:$D$26,Tabelas!$D$3,Orçamento!I20:I26)*I108)+SUMIF($D$20:$D$26,$C$108,Orçamento!I20:I26)</f>
        <v>0</v>
      </c>
      <c r="J109" s="30">
        <f>(SUMIF($D$20:$D$26,Tabelas!$D$3,Orçamento!J20:J26)*J108)+SUMIF($D$20:$D$26,$C$108,Orçamento!J20:J26)</f>
        <v>0</v>
      </c>
      <c r="K109" s="30">
        <f>(SUMIF($D$20:$D$26,Tabelas!$D$3,Orçamento!K20:K26)*K108)+SUMIF($D$20:$D$26,$C$108,Orçamento!K20:K26)</f>
        <v>0</v>
      </c>
      <c r="L109" s="30">
        <f>(SUMIF($D$20:$D$26,Tabelas!$D$3,Orçamento!L20:L26)*L108)+SUMIF($D$20:$D$26,$C$108,Orçamento!L20:L26)</f>
        <v>0</v>
      </c>
      <c r="M109" s="30">
        <f>(SUMIF($D$20:$D$26,Tabelas!$D$3,Orçamento!M20:M26)*M108)+SUMIF($D$20:$D$26,$C$108,Orçamento!M20:M26)</f>
        <v>0</v>
      </c>
      <c r="N109" s="30">
        <f>(SUMIF($D$20:$D$26,Tabelas!$D$3,Orçamento!N20:N26)*N108)+SUMIF($D$20:$D$26,$C$108,Orçamento!N20:N26)</f>
        <v>0</v>
      </c>
      <c r="O109" s="30">
        <f>(SUMIF($D$20:$D$26,Tabelas!$D$3,Orçamento!O20:O26)*O108)+SUMIF($D$20:$D$26,$C$108,Orçamento!O20:O26)</f>
        <v>0</v>
      </c>
      <c r="P109" s="30">
        <f>(SUMIF($D$20:$D$26,Tabelas!$D$3,Orçamento!P20:P26)*P108)+SUMIF($D$20:$D$26,$C$108,Orçamento!P20:P26)</f>
        <v>0</v>
      </c>
      <c r="Q109" s="87">
        <f>SUM(E109:P109)</f>
        <v>0</v>
      </c>
    </row>
    <row r="110" spans="2:17" hidden="1" x14ac:dyDescent="0.2">
      <c r="B110" s="57"/>
      <c r="C110" s="14"/>
      <c r="D110" s="15"/>
      <c r="E110" s="100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82">
        <f>SUM(E110:P110)</f>
        <v>0</v>
      </c>
    </row>
    <row r="111" spans="2:17" hidden="1" x14ac:dyDescent="0.2">
      <c r="B111" s="57"/>
      <c r="C111" s="14"/>
      <c r="D111" s="15"/>
      <c r="E111" s="97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82">
        <f t="shared" ref="Q111:Q115" si="19">SUM(E111:P111)</f>
        <v>0</v>
      </c>
    </row>
    <row r="112" spans="2:17" hidden="1" x14ac:dyDescent="0.2">
      <c r="B112" s="57"/>
      <c r="C112" s="14"/>
      <c r="D112" s="15"/>
      <c r="E112" s="100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82">
        <f t="shared" si="19"/>
        <v>0</v>
      </c>
    </row>
    <row r="113" spans="2:17" hidden="1" x14ac:dyDescent="0.2">
      <c r="B113" s="57"/>
      <c r="C113" s="14"/>
      <c r="D113" s="15"/>
      <c r="E113" s="97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82">
        <f t="shared" si="19"/>
        <v>0</v>
      </c>
    </row>
    <row r="114" spans="2:17" hidden="1" x14ac:dyDescent="0.2">
      <c r="B114" s="57"/>
      <c r="C114" s="14"/>
      <c r="D114" s="15"/>
      <c r="E114" s="97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82">
        <f t="shared" si="19"/>
        <v>0</v>
      </c>
    </row>
    <row r="115" spans="2:17" hidden="1" x14ac:dyDescent="0.2">
      <c r="B115" s="57"/>
      <c r="C115" s="14"/>
      <c r="D115" s="15"/>
      <c r="E115" s="97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82">
        <f t="shared" si="19"/>
        <v>0</v>
      </c>
    </row>
    <row r="116" spans="2:17" x14ac:dyDescent="0.2">
      <c r="B116" s="35"/>
      <c r="C116" s="28" t="str">
        <f>"Total "&amp;C108</f>
        <v>Total Emergência</v>
      </c>
      <c r="D116" s="27"/>
      <c r="E116" s="88">
        <f t="shared" ref="E116:Q116" si="20">SUM(E110:E115)</f>
        <v>0</v>
      </c>
      <c r="F116" s="29">
        <f t="shared" si="20"/>
        <v>0</v>
      </c>
      <c r="G116" s="29">
        <f t="shared" si="20"/>
        <v>0</v>
      </c>
      <c r="H116" s="29">
        <f t="shared" si="20"/>
        <v>0</v>
      </c>
      <c r="I116" s="29">
        <f t="shared" si="20"/>
        <v>0</v>
      </c>
      <c r="J116" s="29">
        <f t="shared" si="20"/>
        <v>0</v>
      </c>
      <c r="K116" s="29">
        <f t="shared" si="20"/>
        <v>0</v>
      </c>
      <c r="L116" s="29">
        <f t="shared" si="20"/>
        <v>0</v>
      </c>
      <c r="M116" s="29">
        <f t="shared" si="20"/>
        <v>0</v>
      </c>
      <c r="N116" s="29">
        <f t="shared" si="20"/>
        <v>0</v>
      </c>
      <c r="O116" s="29">
        <f t="shared" si="20"/>
        <v>0</v>
      </c>
      <c r="P116" s="29">
        <f t="shared" si="20"/>
        <v>0</v>
      </c>
      <c r="Q116" s="88">
        <f t="shared" si="20"/>
        <v>0</v>
      </c>
    </row>
    <row r="119" spans="2:17" ht="12.75" customHeight="1" x14ac:dyDescent="0.2">
      <c r="B119" s="26"/>
      <c r="C119" s="110" t="str">
        <f>Tabelas!B8</f>
        <v>Metas</v>
      </c>
      <c r="D119" s="106"/>
      <c r="E119" s="101">
        <v>0.1</v>
      </c>
      <c r="F119" s="36">
        <v>0.1</v>
      </c>
      <c r="G119" s="36">
        <v>0.1</v>
      </c>
      <c r="H119" s="36">
        <v>0.1</v>
      </c>
      <c r="I119" s="36">
        <v>0.1</v>
      </c>
      <c r="J119" s="36">
        <v>0.1</v>
      </c>
      <c r="K119" s="36">
        <v>0.1</v>
      </c>
      <c r="L119" s="36">
        <v>0.1</v>
      </c>
      <c r="M119" s="36">
        <v>0.1</v>
      </c>
      <c r="N119" s="36">
        <v>0.1</v>
      </c>
      <c r="O119" s="36">
        <v>0.1</v>
      </c>
      <c r="P119" s="36">
        <v>0.1</v>
      </c>
      <c r="Q119" s="86">
        <f>AVERAGE(E119:P119)</f>
        <v>9.9999999999999992E-2</v>
      </c>
    </row>
    <row r="120" spans="2:17" ht="12.75" customHeight="1" x14ac:dyDescent="0.2">
      <c r="B120" s="26"/>
      <c r="C120" s="110"/>
      <c r="D120" s="106"/>
      <c r="E120" s="102">
        <f>(SUMIF($D$20:$D$26,Tabelas!$D$3,Orçamento!E20:E26)*E119)+SUMIF($D$20:$D$26,$C$119,Orçamento!E20:E26)</f>
        <v>0</v>
      </c>
      <c r="F120" s="30">
        <f>(SUMIF($D$20:$D$26,Tabelas!$D$3,Orçamento!F20:F26)*F119)+SUMIF($D$20:$D$26,$C$119,Orçamento!F20:F26)</f>
        <v>0</v>
      </c>
      <c r="G120" s="30">
        <f>(SUMIF($D$20:$D$26,Tabelas!$D$3,Orçamento!G20:G26)*G119)+SUMIF($D$20:$D$26,$C$119,Orçamento!G20:G26)</f>
        <v>0</v>
      </c>
      <c r="H120" s="30">
        <f>(SUMIF($D$20:$D$26,Tabelas!$D$3,Orçamento!H20:H26)*H119)+SUMIF($D$20:$D$26,$C$119,Orçamento!H20:H26)</f>
        <v>0</v>
      </c>
      <c r="I120" s="30">
        <f>(SUMIF($D$20:$D$26,Tabelas!$D$3,Orçamento!I20:I26)*I119)+SUMIF($D$20:$D$26,$C$119,Orçamento!I20:I26)</f>
        <v>0</v>
      </c>
      <c r="J120" s="30">
        <f>(SUMIF($D$20:$D$26,Tabelas!$D$3,Orçamento!J20:J26)*J119)+SUMIF($D$20:$D$26,$C$119,Orçamento!J20:J26)</f>
        <v>0</v>
      </c>
      <c r="K120" s="30">
        <f>(SUMIF($D$20:$D$26,Tabelas!$D$3,Orçamento!K20:K26)*K119)+SUMIF($D$20:$D$26,$C$119,Orçamento!K20:K26)</f>
        <v>0</v>
      </c>
      <c r="L120" s="30">
        <f>(SUMIF($D$20:$D$26,Tabelas!$D$3,Orçamento!L20:L26)*L119)+SUMIF($D$20:$D$26,$C$119,Orçamento!L20:L26)</f>
        <v>0</v>
      </c>
      <c r="M120" s="30">
        <f>(SUMIF($D$20:$D$26,Tabelas!$D$3,Orçamento!M20:M26)*M119)+SUMIF($D$20:$D$26,$C$119,Orçamento!M20:M26)</f>
        <v>0</v>
      </c>
      <c r="N120" s="30">
        <f>(SUMIF($D$20:$D$26,Tabelas!$D$3,Orçamento!N20:N26)*N119)+SUMIF($D$20:$D$26,$C$119,Orçamento!N20:N26)</f>
        <v>0</v>
      </c>
      <c r="O120" s="30">
        <f>(SUMIF($D$20:$D$26,Tabelas!$D$3,Orçamento!O20:O26)*O119)+SUMIF($D$20:$D$26,$C$119,Orçamento!O20:O26)</f>
        <v>0</v>
      </c>
      <c r="P120" s="30">
        <f>(SUMIF($D$20:$D$26,Tabelas!$D$3,Orçamento!P20:P26)*P119)+SUMIF($D$20:$D$26,$C$119,Orçamento!P20:P26)</f>
        <v>0</v>
      </c>
      <c r="Q120" s="87">
        <f>SUM(E120:P120)</f>
        <v>0</v>
      </c>
    </row>
    <row r="121" spans="2:17" hidden="1" x14ac:dyDescent="0.2">
      <c r="B121" s="57"/>
      <c r="C121" s="14"/>
      <c r="D121" s="15"/>
      <c r="E121" s="100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82">
        <f>SUM(E121:P121)</f>
        <v>0</v>
      </c>
    </row>
    <row r="122" spans="2:17" hidden="1" x14ac:dyDescent="0.2">
      <c r="B122" s="57"/>
      <c r="C122" s="14"/>
      <c r="D122" s="15"/>
      <c r="E122" s="97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82">
        <f t="shared" ref="Q122:Q127" si="21">SUM(E122:P122)</f>
        <v>0</v>
      </c>
    </row>
    <row r="123" spans="2:17" hidden="1" x14ac:dyDescent="0.2">
      <c r="B123" s="57"/>
      <c r="C123" s="14"/>
      <c r="D123" s="15"/>
      <c r="E123" s="100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82">
        <f t="shared" si="21"/>
        <v>0</v>
      </c>
    </row>
    <row r="124" spans="2:17" hidden="1" x14ac:dyDescent="0.2">
      <c r="B124" s="57"/>
      <c r="C124" s="14"/>
      <c r="D124" s="15"/>
      <c r="E124" s="9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82">
        <f t="shared" si="21"/>
        <v>0</v>
      </c>
    </row>
    <row r="125" spans="2:17" hidden="1" x14ac:dyDescent="0.2">
      <c r="B125" s="57"/>
      <c r="C125" s="14"/>
      <c r="D125" s="15"/>
      <c r="E125" s="100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82">
        <f t="shared" si="21"/>
        <v>0</v>
      </c>
    </row>
    <row r="126" spans="2:17" hidden="1" x14ac:dyDescent="0.2">
      <c r="B126" s="57"/>
      <c r="C126" s="14"/>
      <c r="D126" s="15"/>
      <c r="E126" s="100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82">
        <f t="shared" si="21"/>
        <v>0</v>
      </c>
    </row>
    <row r="127" spans="2:17" hidden="1" x14ac:dyDescent="0.2">
      <c r="B127" s="57"/>
      <c r="C127" s="14"/>
      <c r="D127" s="15"/>
      <c r="E127" s="97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82">
        <f t="shared" si="21"/>
        <v>0</v>
      </c>
    </row>
    <row r="128" spans="2:17" x14ac:dyDescent="0.2">
      <c r="B128" s="35"/>
      <c r="C128" s="28" t="str">
        <f>"Total "&amp;C119</f>
        <v>Total Metas</v>
      </c>
      <c r="D128" s="27"/>
      <c r="E128" s="88">
        <f t="shared" ref="E128:Q128" si="22">SUM(E121:E127)</f>
        <v>0</v>
      </c>
      <c r="F128" s="29">
        <f t="shared" si="22"/>
        <v>0</v>
      </c>
      <c r="G128" s="29">
        <f t="shared" si="22"/>
        <v>0</v>
      </c>
      <c r="H128" s="29">
        <f t="shared" si="22"/>
        <v>0</v>
      </c>
      <c r="I128" s="29">
        <f t="shared" si="22"/>
        <v>0</v>
      </c>
      <c r="J128" s="29">
        <f t="shared" si="22"/>
        <v>0</v>
      </c>
      <c r="K128" s="29">
        <f t="shared" si="22"/>
        <v>0</v>
      </c>
      <c r="L128" s="29">
        <f t="shared" si="22"/>
        <v>0</v>
      </c>
      <c r="M128" s="29">
        <f t="shared" si="22"/>
        <v>0</v>
      </c>
      <c r="N128" s="29">
        <f t="shared" si="22"/>
        <v>0</v>
      </c>
      <c r="O128" s="29">
        <f t="shared" si="22"/>
        <v>0</v>
      </c>
      <c r="P128" s="29">
        <f t="shared" si="22"/>
        <v>0</v>
      </c>
      <c r="Q128" s="88">
        <f t="shared" si="22"/>
        <v>0</v>
      </c>
    </row>
    <row r="130" spans="1:17" x14ac:dyDescent="0.2">
      <c r="Q130" s="33"/>
    </row>
    <row r="131" spans="1:17" ht="12.75" customHeight="1" x14ac:dyDescent="0.2">
      <c r="B131" s="26"/>
      <c r="C131" s="110" t="str">
        <f>Tabelas!B10</f>
        <v>Vale Alimentação</v>
      </c>
      <c r="D131" s="106"/>
      <c r="E131" s="101">
        <v>0</v>
      </c>
      <c r="F131" s="36">
        <v>0</v>
      </c>
      <c r="G131" s="36">
        <v>0</v>
      </c>
      <c r="H131" s="36">
        <v>0</v>
      </c>
      <c r="I131" s="36">
        <v>0</v>
      </c>
      <c r="J131" s="36">
        <v>0</v>
      </c>
      <c r="K131" s="36">
        <v>0</v>
      </c>
      <c r="L131" s="36">
        <v>0</v>
      </c>
      <c r="M131" s="36">
        <v>0</v>
      </c>
      <c r="N131" s="36">
        <v>0</v>
      </c>
      <c r="O131" s="36">
        <v>0</v>
      </c>
      <c r="P131" s="36">
        <v>0</v>
      </c>
      <c r="Q131" s="86">
        <f>AVERAGE(E131:P131)</f>
        <v>0</v>
      </c>
    </row>
    <row r="132" spans="1:17" ht="12.75" customHeight="1" x14ac:dyDescent="0.2">
      <c r="B132" s="26"/>
      <c r="C132" s="110"/>
      <c r="D132" s="106"/>
      <c r="E132" s="102">
        <f>(SUMIF($D$20:$D$26,Tabelas!$D$3,Orçamento!E20:E26)*E131)+SUMIF($D$20:$D$26,$C$131,Orçamento!E20:E26)</f>
        <v>0</v>
      </c>
      <c r="F132" s="30">
        <f>(SUMIF($D$20:$D$26,Tabelas!$D$3,Orçamento!F20:F26)*F131)+SUMIF($D$20:$D$26,$C$131,Orçamento!F20:F26)</f>
        <v>0</v>
      </c>
      <c r="G132" s="30">
        <f>(SUMIF($D$20:$D$26,Tabelas!$D$3,Orçamento!G20:G26)*G131)+SUMIF($D$20:$D$26,$C$131,Orçamento!G20:G26)</f>
        <v>0</v>
      </c>
      <c r="H132" s="30">
        <f>(SUMIF($D$20:$D$26,Tabelas!$D$3,Orçamento!H20:H26)*H131)+SUMIF($D$20:$D$26,$C$131,Orçamento!H20:H26)</f>
        <v>0</v>
      </c>
      <c r="I132" s="30">
        <f>(SUMIF($D$20:$D$26,Tabelas!$D$3,Orçamento!I20:I26)*I131)+SUMIF($D$20:$D$26,$C$131,Orçamento!I20:I26)</f>
        <v>0</v>
      </c>
      <c r="J132" s="30">
        <f>(SUMIF($D$20:$D$26,Tabelas!$D$3,Orçamento!J20:J26)*J131)+SUMIF($D$20:$D$26,$C$131,Orçamento!J20:J26)</f>
        <v>0</v>
      </c>
      <c r="K132" s="30">
        <f>(SUMIF($D$20:$D$26,Tabelas!$D$3,Orçamento!K20:K26)*K131)+SUMIF($D$20:$D$26,$C$131,Orçamento!K20:K26)</f>
        <v>0</v>
      </c>
      <c r="L132" s="30">
        <f>(SUMIF($D$20:$D$26,Tabelas!$D$3,Orçamento!L20:L26)*L131)+SUMIF($D$20:$D$26,$C$131,Orçamento!L20:L26)</f>
        <v>0</v>
      </c>
      <c r="M132" s="30">
        <f>(SUMIF($D$20:$D$26,Tabelas!$D$3,Orçamento!M20:M26)*M131)+SUMIF($D$20:$D$26,$C$131,Orçamento!M20:M26)</f>
        <v>0</v>
      </c>
      <c r="N132" s="30">
        <f>(SUMIF($D$20:$D$26,Tabelas!$D$3,Orçamento!N20:N26)*N131)+SUMIF($D$20:$D$26,$C$131,Orçamento!N20:N26)</f>
        <v>0</v>
      </c>
      <c r="O132" s="30">
        <f>(SUMIF($D$20:$D$26,Tabelas!$D$3,Orçamento!O20:O26)*O131)+SUMIF($D$20:$D$26,$C$131,Orçamento!O20:O26)</f>
        <v>0</v>
      </c>
      <c r="P132" s="30">
        <f>(SUMIF($D$20:$D$26,Tabelas!$D$3,Orçamento!P20:P26)*P131)+SUMIF($D$20:$D$26,$C$131,Orçamento!P20:P26)</f>
        <v>0</v>
      </c>
      <c r="Q132" s="87">
        <f>SUM(E132:P132)</f>
        <v>0</v>
      </c>
    </row>
    <row r="133" spans="1:17" hidden="1" x14ac:dyDescent="0.2">
      <c r="B133" s="57"/>
      <c r="C133" s="14"/>
      <c r="D133" s="15"/>
      <c r="E133" s="100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82">
        <f>SUM(E133:P133)</f>
        <v>0</v>
      </c>
    </row>
    <row r="134" spans="1:17" hidden="1" x14ac:dyDescent="0.2">
      <c r="B134" s="57"/>
      <c r="C134" s="14"/>
      <c r="D134" s="15"/>
      <c r="E134" s="97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82">
        <f t="shared" ref="Q134:Q135" si="23">SUM(E134:P134)</f>
        <v>0</v>
      </c>
    </row>
    <row r="135" spans="1:17" hidden="1" x14ac:dyDescent="0.2">
      <c r="B135" s="57"/>
      <c r="C135" s="14"/>
      <c r="D135" s="15"/>
      <c r="E135" s="97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82">
        <f t="shared" si="23"/>
        <v>0</v>
      </c>
    </row>
    <row r="136" spans="1:17" hidden="1" x14ac:dyDescent="0.2">
      <c r="B136" s="57"/>
      <c r="C136" s="14"/>
      <c r="D136" s="15"/>
      <c r="E136" s="97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82">
        <f t="shared" ref="Q136" si="24">SUM(E136:P136)</f>
        <v>0</v>
      </c>
    </row>
    <row r="137" spans="1:17" hidden="1" x14ac:dyDescent="0.2">
      <c r="B137" s="57"/>
      <c r="C137" s="14"/>
      <c r="D137" s="15"/>
      <c r="E137" s="100"/>
      <c r="F137" s="16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82">
        <f t="shared" ref="Q137" si="25">SUM(E137:P137)</f>
        <v>0</v>
      </c>
    </row>
    <row r="138" spans="1:17" x14ac:dyDescent="0.2">
      <c r="B138" s="35"/>
      <c r="C138" s="28" t="str">
        <f>"Total "&amp;C131</f>
        <v>Total Vale Alimentação</v>
      </c>
      <c r="D138" s="27"/>
      <c r="E138" s="88">
        <f t="shared" ref="E138:Q138" si="26">SUM(E133:E137)</f>
        <v>0</v>
      </c>
      <c r="F138" s="29">
        <f t="shared" si="26"/>
        <v>0</v>
      </c>
      <c r="G138" s="29">
        <f t="shared" si="26"/>
        <v>0</v>
      </c>
      <c r="H138" s="29">
        <f t="shared" si="26"/>
        <v>0</v>
      </c>
      <c r="I138" s="29">
        <f t="shared" si="26"/>
        <v>0</v>
      </c>
      <c r="J138" s="29">
        <f t="shared" si="26"/>
        <v>0</v>
      </c>
      <c r="K138" s="29">
        <f t="shared" si="26"/>
        <v>0</v>
      </c>
      <c r="L138" s="29">
        <f t="shared" si="26"/>
        <v>0</v>
      </c>
      <c r="M138" s="29">
        <f t="shared" si="26"/>
        <v>0</v>
      </c>
      <c r="N138" s="29">
        <f t="shared" si="26"/>
        <v>0</v>
      </c>
      <c r="O138" s="29">
        <f t="shared" si="26"/>
        <v>0</v>
      </c>
      <c r="P138" s="29">
        <f t="shared" si="26"/>
        <v>0</v>
      </c>
      <c r="Q138" s="88">
        <f t="shared" si="26"/>
        <v>0</v>
      </c>
    </row>
    <row r="141" spans="1:17" x14ac:dyDescent="0.2">
      <c r="A141" s="34" t="s">
        <v>35</v>
      </c>
    </row>
  </sheetData>
  <sheetProtection sheet="1" objects="1" scenarios="1" selectLockedCells="1"/>
  <mergeCells count="21">
    <mergeCell ref="C131:C132"/>
    <mergeCell ref="D131:D132"/>
    <mergeCell ref="C97:C98"/>
    <mergeCell ref="C119:C120"/>
    <mergeCell ref="C30:C31"/>
    <mergeCell ref="D97:D98"/>
    <mergeCell ref="A1:D3"/>
    <mergeCell ref="D119:D120"/>
    <mergeCell ref="D30:D31"/>
    <mergeCell ref="C6:C7"/>
    <mergeCell ref="D6:D7"/>
    <mergeCell ref="D82:D83"/>
    <mergeCell ref="C82:C83"/>
    <mergeCell ref="D18:D19"/>
    <mergeCell ref="D39:D40"/>
    <mergeCell ref="D61:D62"/>
    <mergeCell ref="D108:D109"/>
    <mergeCell ref="C18:C19"/>
    <mergeCell ref="C39:C40"/>
    <mergeCell ref="C61:C62"/>
    <mergeCell ref="C108:C109"/>
  </mergeCells>
  <phoneticPr fontId="3" type="noConversion"/>
  <pageMargins left="0.511811024" right="0.511811024" top="0.78740157499999996" bottom="0.78740157499999996" header="0.31496062000000002" footer="0.31496062000000002"/>
  <pageSetup orientation="portrait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E9D158-DFF8-4E71-8AC4-0B53E7B38389}">
          <x14:formula1>
            <xm:f>Tabelas!$D$3:$D$11</xm:f>
          </x14:formula1>
          <xm:sqref>D20:D26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4753-351E-4A86-A1CB-D11F8C257845}">
  <sheetPr codeName="Planilha3"/>
  <dimension ref="A3:E71"/>
  <sheetViews>
    <sheetView showGridLines="0" topLeftCell="A49" workbookViewId="0">
      <selection activeCell="B73" sqref="B73"/>
    </sheetView>
  </sheetViews>
  <sheetFormatPr defaultRowHeight="15" x14ac:dyDescent="0.25"/>
  <cols>
    <col min="1" max="1" width="24.28515625" style="3" bestFit="1" customWidth="1"/>
    <col min="2" max="2" width="24.7109375" style="4" customWidth="1"/>
    <col min="3" max="3" width="24.7109375" style="3" customWidth="1"/>
    <col min="4" max="4" width="10.5703125" style="3" bestFit="1" customWidth="1"/>
    <col min="5" max="16384" width="9.140625" style="3"/>
  </cols>
  <sheetData>
    <row r="3" spans="2:4" x14ac:dyDescent="0.25">
      <c r="B3" s="8" t="s">
        <v>29</v>
      </c>
      <c r="C3" s="9" t="s">
        <v>31</v>
      </c>
      <c r="D3" s="9" t="s">
        <v>30</v>
      </c>
    </row>
    <row r="4" spans="2:4" x14ac:dyDescent="0.25">
      <c r="B4" s="5" t="str">
        <f>Orçamento!C39</f>
        <v>Necessidades Básicas</v>
      </c>
      <c r="C4" s="7">
        <f>Orçamento!Q40</f>
        <v>0</v>
      </c>
      <c r="D4" s="6">
        <f>Orçamento!Q39</f>
        <v>0.5</v>
      </c>
    </row>
    <row r="5" spans="2:4" x14ac:dyDescent="0.25">
      <c r="B5" s="5" t="str">
        <f>Orçamento!C61</f>
        <v>Lazer</v>
      </c>
      <c r="C5" s="7">
        <f>Orçamento!Q62</f>
        <v>0</v>
      </c>
      <c r="D5" s="6">
        <f>Orçamento!Q61</f>
        <v>4.9999999999999996E-2</v>
      </c>
    </row>
    <row r="6" spans="2:4" x14ac:dyDescent="0.25">
      <c r="B6" s="5" t="str">
        <f>Orçamento!C108</f>
        <v>Emergência</v>
      </c>
      <c r="C6" s="7">
        <f>Orçamento!Q109</f>
        <v>0</v>
      </c>
      <c r="D6" s="6">
        <f>Orçamento!Q108</f>
        <v>9.9999999999999992E-2</v>
      </c>
    </row>
    <row r="7" spans="2:4" x14ac:dyDescent="0.25">
      <c r="B7" s="5" t="str">
        <f>Orçamento!C82</f>
        <v>Saúde</v>
      </c>
      <c r="C7" s="7">
        <f>Orçamento!Q83</f>
        <v>0</v>
      </c>
      <c r="D7" s="6">
        <f>Orçamento!Q82</f>
        <v>4.9999999999999996E-2</v>
      </c>
    </row>
    <row r="8" spans="2:4" x14ac:dyDescent="0.25">
      <c r="B8" s="5" t="str">
        <f>Orçamento!C97</f>
        <v>Educação</v>
      </c>
      <c r="C8" s="7">
        <f>Orçamento!Q98</f>
        <v>0</v>
      </c>
      <c r="D8" s="6">
        <f>Orçamento!Q97</f>
        <v>4.9999999999999996E-2</v>
      </c>
    </row>
    <row r="9" spans="2:4" x14ac:dyDescent="0.25">
      <c r="B9" s="5" t="str">
        <f>Orçamento!C119</f>
        <v>Metas</v>
      </c>
      <c r="C9" s="7">
        <f>Orçamento!Q120</f>
        <v>0</v>
      </c>
      <c r="D9" s="6">
        <f>Orçamento!Q119</f>
        <v>9.9999999999999992E-2</v>
      </c>
    </row>
    <row r="10" spans="2:4" x14ac:dyDescent="0.25">
      <c r="B10" s="5" t="str">
        <f>Orçamento!C30</f>
        <v>Independência Financeira</v>
      </c>
      <c r="C10" s="7">
        <f>Orçamento!Q31</f>
        <v>0</v>
      </c>
      <c r="D10" s="6">
        <f>Orçamento!Q30</f>
        <v>0.14999999999999997</v>
      </c>
    </row>
    <row r="21" spans="1:3" s="40" customFormat="1" x14ac:dyDescent="0.25">
      <c r="B21" s="41"/>
    </row>
    <row r="24" spans="1:3" x14ac:dyDescent="0.25">
      <c r="A24" s="10"/>
      <c r="B24" s="11" t="s">
        <v>32</v>
      </c>
      <c r="C24" s="11" t="s">
        <v>33</v>
      </c>
    </row>
    <row r="25" spans="1:3" x14ac:dyDescent="0.25">
      <c r="A25" s="11" t="s">
        <v>3</v>
      </c>
      <c r="B25" s="13">
        <f>Orçamento!E27</f>
        <v>0</v>
      </c>
      <c r="C25" s="12">
        <f>Orçamento!E10</f>
        <v>0</v>
      </c>
    </row>
    <row r="26" spans="1:3" x14ac:dyDescent="0.25">
      <c r="A26" s="11" t="s">
        <v>4</v>
      </c>
      <c r="B26" s="13">
        <f>Orçamento!F27</f>
        <v>0</v>
      </c>
      <c r="C26" s="12">
        <f>Orçamento!F10</f>
        <v>0</v>
      </c>
    </row>
    <row r="27" spans="1:3" x14ac:dyDescent="0.25">
      <c r="A27" s="11" t="s">
        <v>5</v>
      </c>
      <c r="B27" s="13">
        <f>Orçamento!G27</f>
        <v>0</v>
      </c>
      <c r="C27" s="12">
        <f>Orçamento!G10</f>
        <v>0</v>
      </c>
    </row>
    <row r="28" spans="1:3" x14ac:dyDescent="0.25">
      <c r="A28" s="11" t="s">
        <v>6</v>
      </c>
      <c r="B28" s="13">
        <f>Orçamento!H27</f>
        <v>0</v>
      </c>
      <c r="C28" s="12">
        <f>Orçamento!H10</f>
        <v>0</v>
      </c>
    </row>
    <row r="29" spans="1:3" x14ac:dyDescent="0.25">
      <c r="A29" s="11" t="s">
        <v>7</v>
      </c>
      <c r="B29" s="13">
        <f>Orçamento!I27</f>
        <v>0</v>
      </c>
      <c r="C29" s="12">
        <f>Orçamento!I10</f>
        <v>0</v>
      </c>
    </row>
    <row r="30" spans="1:3" x14ac:dyDescent="0.25">
      <c r="A30" s="11" t="s">
        <v>8</v>
      </c>
      <c r="B30" s="13">
        <f>Orçamento!J27</f>
        <v>0</v>
      </c>
      <c r="C30" s="12">
        <f>Orçamento!J10</f>
        <v>0</v>
      </c>
    </row>
    <row r="31" spans="1:3" x14ac:dyDescent="0.25">
      <c r="A31" s="11" t="s">
        <v>9</v>
      </c>
      <c r="B31" s="13">
        <f>Orçamento!K27</f>
        <v>0</v>
      </c>
      <c r="C31" s="12">
        <f>Orçamento!K10</f>
        <v>0</v>
      </c>
    </row>
    <row r="32" spans="1:3" x14ac:dyDescent="0.25">
      <c r="A32" s="11" t="s">
        <v>10</v>
      </c>
      <c r="B32" s="13">
        <f>Orçamento!L27</f>
        <v>0</v>
      </c>
      <c r="C32" s="12">
        <f>Orçamento!L10</f>
        <v>0</v>
      </c>
    </row>
    <row r="33" spans="1:3" x14ac:dyDescent="0.25">
      <c r="A33" s="11" t="s">
        <v>11</v>
      </c>
      <c r="B33" s="13">
        <f>Orçamento!M27</f>
        <v>0</v>
      </c>
      <c r="C33" s="12">
        <f>Orçamento!M10</f>
        <v>0</v>
      </c>
    </row>
    <row r="34" spans="1:3" x14ac:dyDescent="0.25">
      <c r="A34" s="11" t="s">
        <v>12</v>
      </c>
      <c r="B34" s="13">
        <f>Orçamento!N27</f>
        <v>0</v>
      </c>
      <c r="C34" s="12">
        <f>Orçamento!N10</f>
        <v>0</v>
      </c>
    </row>
    <row r="35" spans="1:3" x14ac:dyDescent="0.25">
      <c r="A35" s="11" t="s">
        <v>13</v>
      </c>
      <c r="B35" s="13">
        <f>Orçamento!O27</f>
        <v>0</v>
      </c>
      <c r="C35" s="12">
        <f>Orçamento!O10</f>
        <v>0</v>
      </c>
    </row>
    <row r="36" spans="1:3" x14ac:dyDescent="0.25">
      <c r="A36" s="11" t="s">
        <v>14</v>
      </c>
      <c r="B36" s="13">
        <f>Orçamento!P27</f>
        <v>0</v>
      </c>
      <c r="C36" s="12">
        <f>Orçamento!P10</f>
        <v>0</v>
      </c>
    </row>
    <row r="39" spans="1:3" s="40" customFormat="1" x14ac:dyDescent="0.25">
      <c r="B39" s="41"/>
    </row>
    <row r="42" spans="1:3" x14ac:dyDescent="0.25">
      <c r="A42" s="10"/>
      <c r="B42" s="11" t="s">
        <v>34</v>
      </c>
    </row>
    <row r="43" spans="1:3" x14ac:dyDescent="0.25">
      <c r="A43" s="11" t="s">
        <v>3</v>
      </c>
      <c r="B43" s="7">
        <f>IF((B25-C25)&gt;0,0,-1*(B25-C25))</f>
        <v>0</v>
      </c>
    </row>
    <row r="44" spans="1:3" x14ac:dyDescent="0.25">
      <c r="A44" s="11" t="s">
        <v>4</v>
      </c>
      <c r="B44" s="7">
        <f t="shared" ref="B44:B54" si="0">IF((B26-C26)&gt;0,0,-1*(B26-C26))</f>
        <v>0</v>
      </c>
    </row>
    <row r="45" spans="1:3" x14ac:dyDescent="0.25">
      <c r="A45" s="11" t="s">
        <v>5</v>
      </c>
      <c r="B45" s="7">
        <f t="shared" si="0"/>
        <v>0</v>
      </c>
    </row>
    <row r="46" spans="1:3" x14ac:dyDescent="0.25">
      <c r="A46" s="11" t="s">
        <v>6</v>
      </c>
      <c r="B46" s="7">
        <f t="shared" si="0"/>
        <v>0</v>
      </c>
    </row>
    <row r="47" spans="1:3" x14ac:dyDescent="0.25">
      <c r="A47" s="11" t="s">
        <v>7</v>
      </c>
      <c r="B47" s="7">
        <f t="shared" si="0"/>
        <v>0</v>
      </c>
    </row>
    <row r="48" spans="1:3" x14ac:dyDescent="0.25">
      <c r="A48" s="11" t="s">
        <v>8</v>
      </c>
      <c r="B48" s="7">
        <f t="shared" si="0"/>
        <v>0</v>
      </c>
    </row>
    <row r="49" spans="1:5" x14ac:dyDescent="0.25">
      <c r="A49" s="11" t="s">
        <v>9</v>
      </c>
      <c r="B49" s="7">
        <f t="shared" si="0"/>
        <v>0</v>
      </c>
    </row>
    <row r="50" spans="1:5" x14ac:dyDescent="0.25">
      <c r="A50" s="11" t="s">
        <v>10</v>
      </c>
      <c r="B50" s="7">
        <f t="shared" si="0"/>
        <v>0</v>
      </c>
    </row>
    <row r="51" spans="1:5" x14ac:dyDescent="0.25">
      <c r="A51" s="11" t="s">
        <v>11</v>
      </c>
      <c r="B51" s="7">
        <f t="shared" si="0"/>
        <v>0</v>
      </c>
    </row>
    <row r="52" spans="1:5" x14ac:dyDescent="0.25">
      <c r="A52" s="11" t="s">
        <v>12</v>
      </c>
      <c r="B52" s="7">
        <f t="shared" si="0"/>
        <v>0</v>
      </c>
    </row>
    <row r="53" spans="1:5" x14ac:dyDescent="0.25">
      <c r="A53" s="11" t="s">
        <v>13</v>
      </c>
      <c r="B53" s="7">
        <f t="shared" si="0"/>
        <v>0</v>
      </c>
    </row>
    <row r="54" spans="1:5" x14ac:dyDescent="0.25">
      <c r="A54" s="11" t="s">
        <v>14</v>
      </c>
      <c r="B54" s="7">
        <f t="shared" si="0"/>
        <v>0</v>
      </c>
    </row>
    <row r="57" spans="1:5" s="40" customFormat="1" x14ac:dyDescent="0.25">
      <c r="B57" s="41"/>
    </row>
    <row r="58" spans="1:5" ht="15" customHeight="1" x14ac:dyDescent="0.25">
      <c r="D58" s="38"/>
      <c r="E58" s="38"/>
    </row>
    <row r="59" spans="1:5" x14ac:dyDescent="0.25">
      <c r="D59" s="37"/>
      <c r="E59" s="37"/>
    </row>
    <row r="60" spans="1:5" x14ac:dyDescent="0.25">
      <c r="A60" s="112" t="s">
        <v>37</v>
      </c>
      <c r="B60" s="112"/>
      <c r="D60" s="37"/>
      <c r="E60" s="37"/>
    </row>
    <row r="61" spans="1:5" x14ac:dyDescent="0.25">
      <c r="A61" s="112"/>
      <c r="B61" s="112"/>
    </row>
    <row r="62" spans="1:5" x14ac:dyDescent="0.25">
      <c r="A62" s="113">
        <f>SUM(B65:B71)</f>
        <v>0</v>
      </c>
      <c r="B62" s="113"/>
    </row>
    <row r="63" spans="1:5" x14ac:dyDescent="0.25">
      <c r="A63" s="113"/>
      <c r="B63" s="113"/>
    </row>
    <row r="65" spans="1:2" x14ac:dyDescent="0.25">
      <c r="A65" s="11" t="str">
        <f>Orçamento!C39</f>
        <v>Necessidades Básicas</v>
      </c>
      <c r="B65" s="39">
        <f>Orçamento!Q40-Orçamento!Q58</f>
        <v>0</v>
      </c>
    </row>
    <row r="66" spans="1:2" x14ac:dyDescent="0.25">
      <c r="A66" s="11" t="str">
        <f>Orçamento!C61</f>
        <v>Lazer</v>
      </c>
      <c r="B66" s="39">
        <f>Orçamento!Q62-Orçamento!Q79</f>
        <v>0</v>
      </c>
    </row>
    <row r="67" spans="1:2" x14ac:dyDescent="0.25">
      <c r="A67" s="11" t="str">
        <f>Orçamento!C108</f>
        <v>Emergência</v>
      </c>
      <c r="B67" s="39">
        <f>Orçamento!Q109-Orçamento!Q116</f>
        <v>0</v>
      </c>
    </row>
    <row r="68" spans="1:2" x14ac:dyDescent="0.25">
      <c r="A68" s="11" t="str">
        <f>Orçamento!C82</f>
        <v>Saúde</v>
      </c>
      <c r="B68" s="39">
        <f>Orçamento!Q83-Orçamento!Q94</f>
        <v>0</v>
      </c>
    </row>
    <row r="69" spans="1:2" x14ac:dyDescent="0.25">
      <c r="A69" s="11" t="str">
        <f>Orçamento!C97</f>
        <v>Educação</v>
      </c>
      <c r="B69" s="39">
        <f>Orçamento!Q98-Orçamento!Q105</f>
        <v>0</v>
      </c>
    </row>
    <row r="70" spans="1:2" x14ac:dyDescent="0.25">
      <c r="A70" s="11" t="str">
        <f>Orçamento!C119</f>
        <v>Metas</v>
      </c>
      <c r="B70" s="39">
        <f>Orçamento!Q120-Orçamento!Q128</f>
        <v>0</v>
      </c>
    </row>
    <row r="71" spans="1:2" x14ac:dyDescent="0.25">
      <c r="A71" s="11" t="str">
        <f>Orçamento!C30</f>
        <v>Independência Financeira</v>
      </c>
      <c r="B71" s="39">
        <f>Orçamento!Q31</f>
        <v>0</v>
      </c>
    </row>
  </sheetData>
  <sheetProtection sheet="1" objects="1" scenarios="1"/>
  <mergeCells count="2">
    <mergeCell ref="A60:B61"/>
    <mergeCell ref="A62:B6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Tabelas</vt:lpstr>
      <vt:lpstr>Orçamento</vt:lpstr>
      <vt:lpstr>Gráfico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Costa Ribeiro</cp:lastModifiedBy>
  <dcterms:created xsi:type="dcterms:W3CDTF">2021-01-03T15:12:43Z</dcterms:created>
  <dcterms:modified xsi:type="dcterms:W3CDTF">2021-02-28T16:58:04Z</dcterms:modified>
</cp:coreProperties>
</file>